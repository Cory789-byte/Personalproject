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Qldhealth\.pah-cl3-data5.pah.bs.sth.health\LOGAN-HIMS\12 SWITCHBOARD\Telecommunications Coordinator\Call Stats\"/>
    </mc:Choice>
  </mc:AlternateContent>
  <xr:revisionPtr revIDLastSave="0" documentId="13_ncr:1_{D66393DD-AE81-46CD-9A96-30C90AC6152A}" xr6:coauthVersionLast="47" xr6:coauthVersionMax="47" xr10:uidLastSave="{00000000-0000-0000-0000-000000000000}"/>
  <bookViews>
    <workbookView xWindow="25800" yWindow="0" windowWidth="25800" windowHeight="21000" xr2:uid="{D56C66B1-168A-4FE0-BFF6-933EB45560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4" i="1" l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G12" i="1"/>
  <c r="AG11" i="1"/>
  <c r="AG14" i="1" s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G6" i="1"/>
  <c r="AG5" i="1"/>
</calcChain>
</file>

<file path=xl/sharedStrings.xml><?xml version="1.0" encoding="utf-8"?>
<sst xmlns="http://schemas.openxmlformats.org/spreadsheetml/2006/main" count="16" uniqueCount="10">
  <si>
    <t>Staff</t>
  </si>
  <si>
    <t>Shift Start</t>
  </si>
  <si>
    <t>Shift Finish</t>
  </si>
  <si>
    <t>Calls Taken</t>
  </si>
  <si>
    <t>Call Share</t>
  </si>
  <si>
    <t>Call Difference</t>
  </si>
  <si>
    <t>% Taken</t>
  </si>
  <si>
    <t xml:space="preserve">Month to Date </t>
  </si>
  <si>
    <t>APRIL 2025</t>
  </si>
  <si>
    <t>Cory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</si>
</sst>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95A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3" xfId="0" applyFont="1" applyBorder="1" applyAlignment="1">
      <alignment horizontal="center" vertical="center" textRotation="90"/>
    </xf>
    <xf numFmtId="0" fontId="0" fillId="0" borderId="4" xfId="0" applyBorder="1" applyAlignment="1">
      <alignment horizontal="center" textRotation="90"/>
    </xf>
    <xf numFmtId="14" fontId="0" fillId="0" borderId="3" xfId="0" applyNumberFormat="1" applyBorder="1" applyAlignment="1">
      <alignment horizontal="center" textRotation="90"/>
    </xf>
    <xf numFmtId="0" fontId="0" fillId="5" borderId="6" xfId="0" applyFill="1" applyBorder="1"/>
    <xf numFmtId="20" fontId="0" fillId="5" borderId="7" xfId="0" applyNumberFormat="1" applyFill="1" applyBorder="1"/>
    <xf numFmtId="0" fontId="0" fillId="6" borderId="7" xfId="0" applyFill="1" applyBorder="1"/>
    <xf numFmtId="0" fontId="0" fillId="2" borderId="8" xfId="0" applyFill="1" applyBorder="1"/>
    <xf numFmtId="0" fontId="0" fillId="5" borderId="10" xfId="0" applyFill="1" applyBorder="1"/>
    <xf numFmtId="20" fontId="0" fillId="5" borderId="11" xfId="0" applyNumberFormat="1" applyFill="1" applyBorder="1"/>
    <xf numFmtId="0" fontId="0" fillId="6" borderId="11" xfId="0" applyFill="1" applyBorder="1"/>
    <xf numFmtId="0" fontId="0" fillId="2" borderId="12" xfId="0" applyFill="1" applyBorder="1"/>
    <xf numFmtId="0" fontId="0" fillId="3" borderId="2" xfId="0" applyFill="1" applyBorder="1"/>
    <xf numFmtId="0" fontId="0" fillId="6" borderId="13" xfId="0" applyFill="1" applyBorder="1" applyAlignment="1">
      <alignment horizontal="center"/>
    </xf>
    <xf numFmtId="2" fontId="1" fillId="4" borderId="13" xfId="0" applyNumberFormat="1" applyFont="1" applyFill="1" applyBorder="1" applyAlignment="1">
      <alignment horizontal="center"/>
    </xf>
    <xf numFmtId="0" fontId="0" fillId="3" borderId="14" xfId="0" applyFill="1" applyBorder="1"/>
    <xf numFmtId="0" fontId="0" fillId="0" borderId="15" xfId="0" applyBorder="1" applyAlignment="1">
      <alignment horizontal="center"/>
    </xf>
    <xf numFmtId="0" fontId="0" fillId="6" borderId="15" xfId="0" applyFill="1" applyBorder="1" applyAlignment="1">
      <alignment horizontal="center"/>
    </xf>
    <xf numFmtId="9" fontId="0" fillId="6" borderId="16" xfId="0" applyNumberFormat="1" applyFill="1" applyBorder="1" applyAlignment="1">
      <alignment horizontal="center"/>
    </xf>
    <xf numFmtId="9" fontId="1" fillId="4" borderId="17" xfId="0" applyNumberFormat="1" applyFont="1" applyFill="1" applyBorder="1" applyAlignment="1">
      <alignment horizontal="center"/>
    </xf>
    <xf numFmtId="0" fontId="0" fillId="3" borderId="6" xfId="0" applyFill="1" applyBorder="1"/>
    <xf numFmtId="0" fontId="0" fillId="3" borderId="17" xfId="0" applyFill="1" applyBorder="1"/>
    <xf numFmtId="0" fontId="0" fillId="6" borderId="18" xfId="0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0" fontId="0" fillId="3" borderId="0" xfId="0" applyFill="1"/>
    <xf numFmtId="2" fontId="1" fillId="4" borderId="14" xfId="0" applyNumberFormat="1" applyFont="1" applyFill="1" applyBorder="1" applyAlignment="1">
      <alignment horizontal="center"/>
    </xf>
    <xf numFmtId="49" fontId="2" fillId="8" borderId="2" xfId="0" applyNumberFormat="1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 textRotation="90"/>
    </xf>
    <xf numFmtId="0" fontId="0" fillId="2" borderId="0" xfId="0" applyFill="1"/>
    <xf numFmtId="0" fontId="0" fillId="6" borderId="20" xfId="0" applyFill="1" applyBorder="1" applyAlignment="1">
      <alignment horizontal="center"/>
    </xf>
    <xf numFmtId="0" fontId="0" fillId="0" borderId="18" xfId="0" applyBorder="1" applyAlignment="1">
      <alignment horizontal="center"/>
    </xf>
    <xf numFmtId="9" fontId="0" fillId="9" borderId="16" xfId="0" applyNumberFormat="1" applyFill="1" applyBorder="1" applyAlignment="1">
      <alignment horizontal="center"/>
    </xf>
    <xf numFmtId="0" fontId="0" fillId="6" borderId="3" xfId="0" applyFill="1" applyBorder="1"/>
    <xf numFmtId="0" fontId="0" fillId="6" borderId="22" xfId="0" applyFill="1" applyBorder="1"/>
    <xf numFmtId="0" fontId="0" fillId="4" borderId="20" xfId="0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20" fontId="0" fillId="10" borderId="7" xfId="0" applyNumberFormat="1" applyFill="1" applyBorder="1"/>
    <xf numFmtId="0" fontId="1" fillId="3" borderId="9" xfId="0" applyFont="1" applyFill="1" applyBorder="1" applyAlignment="1">
      <alignment horizontal="center" vertical="center"/>
    </xf>
    <xf numFmtId="20" fontId="0" fillId="10" borderId="11" xfId="0" applyNumberFormat="1" applyFill="1" applyBorder="1"/>
    <xf numFmtId="0" fontId="0" fillId="10" borderId="13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10" borderId="15" xfId="0" applyFill="1" applyBorder="1" applyAlignment="1">
      <alignment horizontal="center"/>
    </xf>
    <xf numFmtId="0" fontId="0" fillId="10" borderId="2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9" fontId="0" fillId="10" borderId="16" xfId="0" applyNumberFormat="1" applyFill="1" applyBorder="1" applyAlignment="1">
      <alignment horizontal="center"/>
    </xf>
    <xf numFmtId="0" fontId="1" fillId="2" borderId="23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59996337778862885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6C00-6401-4EA4-BC98-DCB35BBCBCC7}">
  <dimension ref="A1:AI15"/>
  <sheetViews>
    <sheetView tabSelected="1" workbookViewId="0">
      <selection activeCell="L25" sqref="L25"/>
    </sheetView>
  </sheetViews>
  <sheetFormatPr defaultRowHeight="15" x14ac:dyDescent="0.25"/>
  <cols>
    <col min="2" max="2" width="14.28515625" bestFit="1" customWidth="1"/>
  </cols>
  <sheetData>
    <row r="1" spans="1:35" ht="27" thickBot="1" x14ac:dyDescent="0.45">
      <c r="A1" s="35" t="s">
        <v>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26"/>
      <c r="AH1" s="24"/>
      <c r="AI1" s="24"/>
    </row>
    <row r="2" spans="1:35" ht="67.5" customHeight="1" thickBot="1" x14ac:dyDescent="0.3">
      <c r="A2" s="1" t="s">
        <v>0</v>
      </c>
      <c r="B2" s="2"/>
      <c r="C2" s="3">
        <v>45748</v>
      </c>
      <c r="D2" s="3">
        <v>45749</v>
      </c>
      <c r="E2" s="3">
        <v>45750</v>
      </c>
      <c r="F2" s="3">
        <v>45751</v>
      </c>
      <c r="G2" s="3">
        <v>45752</v>
      </c>
      <c r="H2" s="3">
        <v>45753</v>
      </c>
      <c r="I2" s="3">
        <v>45754</v>
      </c>
      <c r="J2" s="3">
        <v>45755</v>
      </c>
      <c r="K2" s="3">
        <v>45756</v>
      </c>
      <c r="L2" s="3">
        <v>45757</v>
      </c>
      <c r="M2" s="3">
        <v>45758</v>
      </c>
      <c r="N2" s="3">
        <v>45759</v>
      </c>
      <c r="O2" s="3">
        <v>45760</v>
      </c>
      <c r="P2" s="3">
        <v>45761</v>
      </c>
      <c r="Q2" s="3">
        <v>45762</v>
      </c>
      <c r="R2" s="3">
        <v>45763</v>
      </c>
      <c r="S2" s="3">
        <v>45764</v>
      </c>
      <c r="T2" s="3">
        <v>45765</v>
      </c>
      <c r="U2" s="3">
        <v>45766</v>
      </c>
      <c r="V2" s="3">
        <v>45767</v>
      </c>
      <c r="W2" s="3">
        <v>45768</v>
      </c>
      <c r="X2" s="3">
        <v>45769</v>
      </c>
      <c r="Y2" s="3">
        <v>45770</v>
      </c>
      <c r="Z2" s="3">
        <v>45771</v>
      </c>
      <c r="AA2" s="3">
        <v>45772</v>
      </c>
      <c r="AB2" s="3">
        <v>45773</v>
      </c>
      <c r="AC2" s="3">
        <v>45774</v>
      </c>
      <c r="AD2" s="3">
        <v>45775</v>
      </c>
      <c r="AE2" s="3">
        <v>45776</v>
      </c>
      <c r="AF2" s="3">
        <v>45777</v>
      </c>
      <c r="AG2" s="27" t="s">
        <v>7</v>
      </c>
      <c r="AH2" s="24"/>
      <c r="AI2" s="24"/>
    </row>
    <row r="3" spans="1:35" ht="15.75" thickBot="1" x14ac:dyDescent="0.3">
      <c r="A3" s="38" t="s">
        <v>9</v>
      </c>
      <c r="B3" s="4" t="s">
        <v>1</v>
      </c>
      <c r="C3" s="32"/>
      <c r="D3" s="6"/>
      <c r="E3" s="6"/>
      <c r="F3" s="6"/>
      <c r="G3" s="6"/>
      <c r="H3" s="6"/>
      <c r="I3" s="6"/>
      <c r="J3" s="6"/>
      <c r="K3" s="39">
        <v>0.25</v>
      </c>
      <c r="L3" s="6"/>
      <c r="M3" s="5">
        <v>0.25</v>
      </c>
      <c r="N3" s="6"/>
      <c r="O3" s="6"/>
      <c r="P3" s="5">
        <v>0.58333333333333337</v>
      </c>
      <c r="Q3" s="5">
        <v>0.58333333333333337</v>
      </c>
      <c r="R3" s="5">
        <v>0.58333333333333337</v>
      </c>
      <c r="S3" s="6"/>
      <c r="T3" s="6"/>
      <c r="U3" s="6"/>
      <c r="V3" s="6"/>
      <c r="W3" s="6"/>
      <c r="X3" s="5">
        <v>0.25</v>
      </c>
      <c r="Y3" s="6"/>
      <c r="Z3" s="6"/>
      <c r="AA3" s="6"/>
      <c r="AB3" s="6"/>
      <c r="AC3" s="6"/>
      <c r="AD3" s="6"/>
      <c r="AE3" s="5">
        <v>0.25</v>
      </c>
      <c r="AF3" s="6"/>
      <c r="AG3" s="7"/>
      <c r="AH3" s="24"/>
      <c r="AI3" s="24"/>
    </row>
    <row r="4" spans="1:35" ht="15.75" thickBot="1" x14ac:dyDescent="0.3">
      <c r="A4" s="40"/>
      <c r="B4" s="8" t="s">
        <v>2</v>
      </c>
      <c r="C4" s="33"/>
      <c r="D4" s="10"/>
      <c r="E4" s="10"/>
      <c r="F4" s="10"/>
      <c r="G4" s="10"/>
      <c r="H4" s="10"/>
      <c r="I4" s="10"/>
      <c r="J4" s="10"/>
      <c r="K4" s="41">
        <v>0.58333333333333337</v>
      </c>
      <c r="L4" s="10"/>
      <c r="M4" s="9">
        <v>0.58333333333333337</v>
      </c>
      <c r="N4" s="10"/>
      <c r="O4" s="10"/>
      <c r="P4" s="9">
        <v>0.91666666666666663</v>
      </c>
      <c r="Q4" s="9">
        <v>0.91666666666666663</v>
      </c>
      <c r="R4" s="9">
        <v>0.91666666666666663</v>
      </c>
      <c r="S4" s="10"/>
      <c r="T4" s="10"/>
      <c r="U4" s="10"/>
      <c r="V4" s="10"/>
      <c r="W4" s="10"/>
      <c r="X4" s="9">
        <v>0.58333333333333337</v>
      </c>
      <c r="Y4" s="10"/>
      <c r="Z4" s="10"/>
      <c r="AA4" s="10"/>
      <c r="AB4" s="10"/>
      <c r="AC4" s="10"/>
      <c r="AD4" s="10"/>
      <c r="AE4" s="9">
        <v>0.58333333333333337</v>
      </c>
      <c r="AF4" s="10"/>
      <c r="AG4" s="11"/>
      <c r="AH4" s="24"/>
      <c r="AI4" s="24"/>
    </row>
    <row r="5" spans="1:35" x14ac:dyDescent="0.25">
      <c r="A5" s="40"/>
      <c r="B5" s="12" t="s">
        <v>3</v>
      </c>
      <c r="C5" s="22"/>
      <c r="D5" s="13"/>
      <c r="E5" s="13"/>
      <c r="F5" s="13"/>
      <c r="G5" s="13"/>
      <c r="H5" s="13"/>
      <c r="I5" s="13"/>
      <c r="J5" s="13"/>
      <c r="K5" s="42">
        <v>283</v>
      </c>
      <c r="L5" s="13"/>
      <c r="M5" s="43">
        <v>377</v>
      </c>
      <c r="N5" s="13"/>
      <c r="O5" s="13"/>
      <c r="P5" s="43">
        <v>444</v>
      </c>
      <c r="Q5" s="43">
        <v>412</v>
      </c>
      <c r="R5" s="43">
        <v>269</v>
      </c>
      <c r="S5" s="13"/>
      <c r="T5" s="13"/>
      <c r="U5" s="13"/>
      <c r="V5" s="13"/>
      <c r="W5" s="13"/>
      <c r="X5" s="43">
        <v>426</v>
      </c>
      <c r="Y5" s="13"/>
      <c r="Z5" s="13"/>
      <c r="AA5" s="13"/>
      <c r="AB5" s="13"/>
      <c r="AC5" s="13"/>
      <c r="AD5" s="13"/>
      <c r="AE5" s="30">
        <v>312</v>
      </c>
      <c r="AF5" s="22"/>
      <c r="AG5" s="14">
        <f>AVERAGE(C5:AF5)</f>
        <v>360.42857142857144</v>
      </c>
      <c r="AH5" s="24"/>
      <c r="AI5" s="24"/>
    </row>
    <row r="6" spans="1:35" ht="15.75" thickBot="1" x14ac:dyDescent="0.3">
      <c r="A6" s="40"/>
      <c r="B6" s="15" t="s">
        <v>4</v>
      </c>
      <c r="C6" s="17"/>
      <c r="D6" s="17"/>
      <c r="E6" s="17"/>
      <c r="F6" s="17"/>
      <c r="G6" s="17"/>
      <c r="H6" s="17"/>
      <c r="I6" s="17"/>
      <c r="J6" s="17"/>
      <c r="K6" s="44">
        <v>319</v>
      </c>
      <c r="L6" s="17"/>
      <c r="M6" s="16">
        <v>313</v>
      </c>
      <c r="N6" s="17"/>
      <c r="O6" s="17"/>
      <c r="P6" s="16">
        <v>422</v>
      </c>
      <c r="Q6" s="16">
        <v>376</v>
      </c>
      <c r="R6" s="16">
        <v>311</v>
      </c>
      <c r="S6" s="17"/>
      <c r="T6" s="17"/>
      <c r="U6" s="17"/>
      <c r="V6" s="17"/>
      <c r="W6" s="17"/>
      <c r="X6" s="16">
        <v>537</v>
      </c>
      <c r="Y6" s="17"/>
      <c r="Z6" s="17"/>
      <c r="AA6" s="17"/>
      <c r="AB6" s="17"/>
      <c r="AC6" s="17"/>
      <c r="AD6" s="17"/>
      <c r="AE6" s="16">
        <v>378</v>
      </c>
      <c r="AF6" s="17"/>
      <c r="AG6" s="25">
        <f>AVERAGE(C6:AF6)</f>
        <v>379.42857142857144</v>
      </c>
      <c r="AH6" s="24"/>
      <c r="AI6" s="24"/>
    </row>
    <row r="7" spans="1:35" ht="15" customHeight="1" thickBot="1" x14ac:dyDescent="0.3">
      <c r="A7" s="40"/>
      <c r="B7" s="20" t="s">
        <v>5</v>
      </c>
      <c r="C7" s="29">
        <f t="shared" ref="C7:AG7" si="0">SUM(C5-C6)</f>
        <v>0</v>
      </c>
      <c r="D7" s="29">
        <f t="shared" si="0"/>
        <v>0</v>
      </c>
      <c r="E7" s="29">
        <f t="shared" si="0"/>
        <v>0</v>
      </c>
      <c r="F7" s="29">
        <f t="shared" si="0"/>
        <v>0</v>
      </c>
      <c r="G7" s="29">
        <f t="shared" si="0"/>
        <v>0</v>
      </c>
      <c r="H7" s="29">
        <f t="shared" si="0"/>
        <v>0</v>
      </c>
      <c r="I7" s="29">
        <f t="shared" si="0"/>
        <v>0</v>
      </c>
      <c r="J7" s="29">
        <f t="shared" si="0"/>
        <v>0</v>
      </c>
      <c r="K7" s="45">
        <f t="shared" si="0"/>
        <v>-36</v>
      </c>
      <c r="L7" s="29">
        <f t="shared" si="0"/>
        <v>0</v>
      </c>
      <c r="M7" s="46">
        <f t="shared" si="0"/>
        <v>64</v>
      </c>
      <c r="N7" s="29">
        <f t="shared" si="0"/>
        <v>0</v>
      </c>
      <c r="O7" s="29">
        <f t="shared" si="0"/>
        <v>0</v>
      </c>
      <c r="P7" s="46">
        <f t="shared" si="0"/>
        <v>22</v>
      </c>
      <c r="Q7" s="46">
        <f t="shared" si="0"/>
        <v>36</v>
      </c>
      <c r="R7" s="46">
        <f t="shared" si="0"/>
        <v>-42</v>
      </c>
      <c r="S7" s="29">
        <f t="shared" si="0"/>
        <v>0</v>
      </c>
      <c r="T7" s="29">
        <f t="shared" si="0"/>
        <v>0</v>
      </c>
      <c r="U7" s="29">
        <f t="shared" si="0"/>
        <v>0</v>
      </c>
      <c r="V7" s="29">
        <f t="shared" si="0"/>
        <v>0</v>
      </c>
      <c r="W7" s="29">
        <f t="shared" si="0"/>
        <v>0</v>
      </c>
      <c r="X7" s="46">
        <f t="shared" si="0"/>
        <v>-111</v>
      </c>
      <c r="Y7" s="29">
        <f t="shared" si="0"/>
        <v>0</v>
      </c>
      <c r="Z7" s="29">
        <f t="shared" si="0"/>
        <v>0</v>
      </c>
      <c r="AA7" s="29">
        <f t="shared" si="0"/>
        <v>0</v>
      </c>
      <c r="AB7" s="29">
        <f t="shared" si="0"/>
        <v>0</v>
      </c>
      <c r="AC7" s="29">
        <f t="shared" si="0"/>
        <v>0</v>
      </c>
      <c r="AD7" s="29">
        <f t="shared" si="0"/>
        <v>0</v>
      </c>
      <c r="AE7" s="46">
        <f t="shared" si="0"/>
        <v>-66</v>
      </c>
      <c r="AF7" s="29">
        <f t="shared" si="0"/>
        <v>0</v>
      </c>
      <c r="AG7" s="34">
        <f t="shared" si="0"/>
        <v>-19</v>
      </c>
      <c r="AH7" s="24"/>
      <c r="AI7" s="24"/>
    </row>
    <row r="8" spans="1:35" ht="15.75" thickBot="1" x14ac:dyDescent="0.3">
      <c r="A8" s="40"/>
      <c r="B8" s="21" t="s">
        <v>6</v>
      </c>
      <c r="C8" s="18" t="e">
        <f t="shared" ref="C8:AF8" si="1">C5/C6</f>
        <v>#DIV/0!</v>
      </c>
      <c r="D8" s="18" t="e">
        <f t="shared" si="1"/>
        <v>#DIV/0!</v>
      </c>
      <c r="E8" s="18" t="e">
        <f t="shared" si="1"/>
        <v>#DIV/0!</v>
      </c>
      <c r="F8" s="18" t="e">
        <f t="shared" si="1"/>
        <v>#DIV/0!</v>
      </c>
      <c r="G8" s="18" t="e">
        <f t="shared" si="1"/>
        <v>#DIV/0!</v>
      </c>
      <c r="H8" s="18" t="e">
        <f t="shared" si="1"/>
        <v>#DIV/0!</v>
      </c>
      <c r="I8" s="18" t="e">
        <f t="shared" si="1"/>
        <v>#DIV/0!</v>
      </c>
      <c r="J8" s="18" t="e">
        <f t="shared" si="1"/>
        <v>#DIV/0!</v>
      </c>
      <c r="K8" s="47">
        <f t="shared" si="1"/>
        <v>0.88714733542319746</v>
      </c>
      <c r="L8" s="18" t="e">
        <f t="shared" si="1"/>
        <v>#DIV/0!</v>
      </c>
      <c r="M8" s="23">
        <f t="shared" si="1"/>
        <v>1.2044728434504792</v>
      </c>
      <c r="N8" s="18" t="e">
        <f t="shared" si="1"/>
        <v>#DIV/0!</v>
      </c>
      <c r="O8" s="18" t="e">
        <f t="shared" si="1"/>
        <v>#DIV/0!</v>
      </c>
      <c r="P8" s="23">
        <f t="shared" si="1"/>
        <v>1.0521327014218009</v>
      </c>
      <c r="Q8" s="23">
        <f t="shared" si="1"/>
        <v>1.0957446808510638</v>
      </c>
      <c r="R8" s="31">
        <f t="shared" si="1"/>
        <v>0.864951768488746</v>
      </c>
      <c r="S8" s="18" t="e">
        <f t="shared" si="1"/>
        <v>#DIV/0!</v>
      </c>
      <c r="T8" s="18" t="e">
        <f t="shared" si="1"/>
        <v>#DIV/0!</v>
      </c>
      <c r="U8" s="18" t="e">
        <f t="shared" si="1"/>
        <v>#DIV/0!</v>
      </c>
      <c r="V8" s="18" t="e">
        <f t="shared" si="1"/>
        <v>#DIV/0!</v>
      </c>
      <c r="W8" s="18" t="e">
        <f t="shared" si="1"/>
        <v>#DIV/0!</v>
      </c>
      <c r="X8" s="31">
        <f t="shared" si="1"/>
        <v>0.79329608938547491</v>
      </c>
      <c r="Y8" s="18" t="e">
        <f t="shared" si="1"/>
        <v>#DIV/0!</v>
      </c>
      <c r="Z8" s="18" t="e">
        <f t="shared" si="1"/>
        <v>#DIV/0!</v>
      </c>
      <c r="AA8" s="18" t="e">
        <f t="shared" si="1"/>
        <v>#DIV/0!</v>
      </c>
      <c r="AB8" s="18" t="e">
        <f t="shared" si="1"/>
        <v>#DIV/0!</v>
      </c>
      <c r="AC8" s="18" t="e">
        <f t="shared" si="1"/>
        <v>#DIV/0!</v>
      </c>
      <c r="AD8" s="18" t="e">
        <f t="shared" si="1"/>
        <v>#DIV/0!</v>
      </c>
      <c r="AE8" s="31">
        <f t="shared" si="1"/>
        <v>0.82539682539682535</v>
      </c>
      <c r="AF8" s="18" t="e">
        <f t="shared" si="1"/>
        <v>#DIV/0!</v>
      </c>
      <c r="AG8" s="19">
        <f>AG5/AG6</f>
        <v>0.94992469879518071</v>
      </c>
      <c r="AH8" s="24"/>
      <c r="AI8" s="24"/>
    </row>
    <row r="9" spans="1:35" ht="15.75" thickBot="1" x14ac:dyDescent="0.3">
      <c r="A9" s="40"/>
      <c r="B9" s="4" t="s">
        <v>1</v>
      </c>
      <c r="C9" s="32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7"/>
      <c r="AH9" s="24"/>
      <c r="AI9" s="24"/>
    </row>
    <row r="10" spans="1:35" ht="15.75" thickBot="1" x14ac:dyDescent="0.3">
      <c r="A10" s="40"/>
      <c r="B10" s="8" t="s">
        <v>2</v>
      </c>
      <c r="C10" s="33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1"/>
      <c r="AH10" s="24"/>
      <c r="AI10" s="24"/>
    </row>
    <row r="11" spans="1:35" x14ac:dyDescent="0.25">
      <c r="A11" s="40"/>
      <c r="B11" s="12" t="s">
        <v>3</v>
      </c>
      <c r="C11" s="2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22"/>
      <c r="AF11" s="22"/>
      <c r="AG11" s="14" t="e">
        <f>AVERAGE(C11:AF11)</f>
        <v>#DIV/0!</v>
      </c>
      <c r="AH11" s="24"/>
      <c r="AI11" s="24"/>
    </row>
    <row r="12" spans="1:35" ht="15.75" thickBot="1" x14ac:dyDescent="0.3">
      <c r="A12" s="40"/>
      <c r="B12" s="15" t="s">
        <v>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25" t="e">
        <f>AVERAGE(C12:AF12)</f>
        <v>#DIV/0!</v>
      </c>
      <c r="AH12" s="24"/>
      <c r="AI12" s="24"/>
    </row>
    <row r="13" spans="1:35" ht="15.75" thickBot="1" x14ac:dyDescent="0.3">
      <c r="A13" s="40"/>
      <c r="B13" s="20" t="s">
        <v>5</v>
      </c>
      <c r="C13" s="29">
        <f t="shared" ref="C13:AG13" si="2">SUM(C11-C12)</f>
        <v>0</v>
      </c>
      <c r="D13" s="29">
        <f t="shared" si="2"/>
        <v>0</v>
      </c>
      <c r="E13" s="29">
        <f t="shared" si="2"/>
        <v>0</v>
      </c>
      <c r="F13" s="29">
        <f t="shared" si="2"/>
        <v>0</v>
      </c>
      <c r="G13" s="29">
        <f t="shared" si="2"/>
        <v>0</v>
      </c>
      <c r="H13" s="29">
        <f t="shared" si="2"/>
        <v>0</v>
      </c>
      <c r="I13" s="29">
        <f t="shared" si="2"/>
        <v>0</v>
      </c>
      <c r="J13" s="29">
        <f t="shared" si="2"/>
        <v>0</v>
      </c>
      <c r="K13" s="29">
        <f t="shared" si="2"/>
        <v>0</v>
      </c>
      <c r="L13" s="29">
        <f t="shared" si="2"/>
        <v>0</v>
      </c>
      <c r="M13" s="29">
        <f t="shared" si="2"/>
        <v>0</v>
      </c>
      <c r="N13" s="29">
        <f t="shared" si="2"/>
        <v>0</v>
      </c>
      <c r="O13" s="29">
        <f t="shared" si="2"/>
        <v>0</v>
      </c>
      <c r="P13" s="29">
        <f t="shared" si="2"/>
        <v>0</v>
      </c>
      <c r="Q13" s="29">
        <f t="shared" si="2"/>
        <v>0</v>
      </c>
      <c r="R13" s="29">
        <f t="shared" si="2"/>
        <v>0</v>
      </c>
      <c r="S13" s="29">
        <f t="shared" si="2"/>
        <v>0</v>
      </c>
      <c r="T13" s="29">
        <f t="shared" si="2"/>
        <v>0</v>
      </c>
      <c r="U13" s="29">
        <f t="shared" si="2"/>
        <v>0</v>
      </c>
      <c r="V13" s="29">
        <f t="shared" si="2"/>
        <v>0</v>
      </c>
      <c r="W13" s="29">
        <f t="shared" si="2"/>
        <v>0</v>
      </c>
      <c r="X13" s="29">
        <f t="shared" si="2"/>
        <v>0</v>
      </c>
      <c r="Y13" s="29">
        <f t="shared" si="2"/>
        <v>0</v>
      </c>
      <c r="Z13" s="29">
        <f t="shared" si="2"/>
        <v>0</v>
      </c>
      <c r="AA13" s="29">
        <f t="shared" si="2"/>
        <v>0</v>
      </c>
      <c r="AB13" s="29">
        <f t="shared" si="2"/>
        <v>0</v>
      </c>
      <c r="AC13" s="29">
        <f t="shared" si="2"/>
        <v>0</v>
      </c>
      <c r="AD13" s="29">
        <f t="shared" si="2"/>
        <v>0</v>
      </c>
      <c r="AE13" s="29">
        <f t="shared" si="2"/>
        <v>0</v>
      </c>
      <c r="AF13" s="29">
        <f t="shared" si="2"/>
        <v>0</v>
      </c>
      <c r="AG13" s="34" t="e">
        <f t="shared" si="2"/>
        <v>#DIV/0!</v>
      </c>
      <c r="AH13" s="24"/>
      <c r="AI13" s="24"/>
    </row>
    <row r="14" spans="1:35" ht="15.75" thickBot="1" x14ac:dyDescent="0.3">
      <c r="A14" s="40"/>
      <c r="B14" s="21" t="s">
        <v>6</v>
      </c>
      <c r="C14" s="18" t="e">
        <f t="shared" ref="C14:AG14" si="3">C11/C12</f>
        <v>#DIV/0!</v>
      </c>
      <c r="D14" s="18" t="e">
        <f t="shared" si="3"/>
        <v>#DIV/0!</v>
      </c>
      <c r="E14" s="18" t="e">
        <f t="shared" si="3"/>
        <v>#DIV/0!</v>
      </c>
      <c r="F14" s="18" t="e">
        <f t="shared" si="3"/>
        <v>#DIV/0!</v>
      </c>
      <c r="G14" s="18" t="e">
        <f t="shared" si="3"/>
        <v>#DIV/0!</v>
      </c>
      <c r="H14" s="18" t="e">
        <f t="shared" si="3"/>
        <v>#DIV/0!</v>
      </c>
      <c r="I14" s="18" t="e">
        <f t="shared" si="3"/>
        <v>#DIV/0!</v>
      </c>
      <c r="J14" s="18" t="e">
        <f t="shared" si="3"/>
        <v>#DIV/0!</v>
      </c>
      <c r="K14" s="18" t="e">
        <f t="shared" si="3"/>
        <v>#DIV/0!</v>
      </c>
      <c r="L14" s="18" t="e">
        <f t="shared" si="3"/>
        <v>#DIV/0!</v>
      </c>
      <c r="M14" s="18" t="e">
        <f t="shared" si="3"/>
        <v>#DIV/0!</v>
      </c>
      <c r="N14" s="18" t="e">
        <f t="shared" si="3"/>
        <v>#DIV/0!</v>
      </c>
      <c r="O14" s="18" t="e">
        <f t="shared" si="3"/>
        <v>#DIV/0!</v>
      </c>
      <c r="P14" s="18" t="e">
        <f t="shared" si="3"/>
        <v>#DIV/0!</v>
      </c>
      <c r="Q14" s="18" t="e">
        <f t="shared" si="3"/>
        <v>#DIV/0!</v>
      </c>
      <c r="R14" s="18" t="e">
        <f t="shared" si="3"/>
        <v>#DIV/0!</v>
      </c>
      <c r="S14" s="18" t="e">
        <f t="shared" si="3"/>
        <v>#DIV/0!</v>
      </c>
      <c r="T14" s="18" t="e">
        <f t="shared" si="3"/>
        <v>#DIV/0!</v>
      </c>
      <c r="U14" s="18" t="e">
        <f t="shared" si="3"/>
        <v>#DIV/0!</v>
      </c>
      <c r="V14" s="18" t="e">
        <f t="shared" si="3"/>
        <v>#DIV/0!</v>
      </c>
      <c r="W14" s="18" t="e">
        <f t="shared" si="3"/>
        <v>#DIV/0!</v>
      </c>
      <c r="X14" s="18" t="e">
        <f t="shared" si="3"/>
        <v>#DIV/0!</v>
      </c>
      <c r="Y14" s="18" t="e">
        <f t="shared" si="3"/>
        <v>#DIV/0!</v>
      </c>
      <c r="Z14" s="18" t="e">
        <f t="shared" si="3"/>
        <v>#DIV/0!</v>
      </c>
      <c r="AA14" s="18" t="e">
        <f t="shared" si="3"/>
        <v>#DIV/0!</v>
      </c>
      <c r="AB14" s="18" t="e">
        <f t="shared" si="3"/>
        <v>#DIV/0!</v>
      </c>
      <c r="AC14" s="18" t="e">
        <f t="shared" si="3"/>
        <v>#DIV/0!</v>
      </c>
      <c r="AD14" s="18" t="e">
        <f t="shared" si="3"/>
        <v>#DIV/0!</v>
      </c>
      <c r="AE14" s="18" t="e">
        <f t="shared" si="3"/>
        <v>#DIV/0!</v>
      </c>
      <c r="AF14" s="18" t="e">
        <f t="shared" si="3"/>
        <v>#DIV/0!</v>
      </c>
      <c r="AG14" s="19" t="e">
        <f t="shared" si="3"/>
        <v>#DIV/0!</v>
      </c>
      <c r="AH14" s="24"/>
      <c r="AI14" s="24"/>
    </row>
    <row r="15" spans="1:35" s="28" customFormat="1" ht="15.75" thickBot="1" x14ac:dyDescent="0.3">
      <c r="A15" s="36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48"/>
      <c r="AH15" s="24"/>
      <c r="AI15" s="24"/>
    </row>
  </sheetData>
  <mergeCells count="3">
    <mergeCell ref="A1:AF1"/>
    <mergeCell ref="A3:A14"/>
    <mergeCell ref="A15:AG15"/>
  </mergeCells>
  <conditionalFormatting sqref="B7:AG7 B13:AG13">
    <cfRule type="cellIs" dxfId="1" priority="2" operator="between">
      <formula>0.01</formula>
      <formula>0.95</formula>
    </cfRule>
  </conditionalFormatting>
  <conditionalFormatting sqref="B7:AG7 B13:AG13">
    <cfRule type="cellIs" dxfId="0" priority="1" operator="between">
      <formula>0.01</formula>
      <formula>0.95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Sonya Willmann</dc:creator>
  <cp:lastModifiedBy>Sonya Willmann</cp:lastModifiedBy>
  <dcterms:created xsi:type="dcterms:W3CDTF">2024-09-02T01:21:24Z</dcterms:created>
  <dcterms:modified xsi:type="dcterms:W3CDTF">2025-05-06T00:09:43Z</dcterms:modified>
</cp:coreProperties>
</file>