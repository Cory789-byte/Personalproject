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corys\Downloads\PAYSLIPS_2025_RTW_7_FORTNIGHTS\"/>
    </mc:Choice>
  </mc:AlternateContent>
  <xr:revisionPtr revIDLastSave="0" documentId="13_ncr:1_{24BD9945-F865-4A71-A9C1-2847ECBF25A9}" xr6:coauthVersionLast="47" xr6:coauthVersionMax="47" xr10:uidLastSave="{00000000-0000-0000-0000-000000000000}"/>
  <bookViews>
    <workbookView xWindow="5925" yWindow="3540" windowWidth="21600" windowHeight="11295" xr2:uid="{00000000-000D-0000-FFFF-FFFF00000000}"/>
  </bookViews>
  <sheets>
    <sheet name="% of full-time role" sheetId="1" r:id="rId1"/>
    <sheet name="Unfair dismissal payment" sheetId="2" r:id="rId2"/>
    <sheet name="Fortnight detail + %" sheetId="3" r:id="rId3"/>
    <sheet name="Line audit" sheetId="4" r:id="rId4"/>
  </sheets>
  <definedNames>
    <definedName name="_xlnm._FilterDatabase" localSheetId="0" hidden="1">'% of full-time role'!$A$6:$AB$6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O10" i="3" l="1"/>
  <c r="AN10" i="3"/>
  <c r="AM10" i="3"/>
  <c r="AL10" i="3"/>
  <c r="AK10" i="3"/>
  <c r="AJ10" i="3"/>
  <c r="AI10" i="3"/>
  <c r="AH10" i="3"/>
  <c r="AG10" i="3"/>
  <c r="AF10" i="3"/>
  <c r="AE10" i="3"/>
  <c r="AD10" i="3"/>
  <c r="AC10" i="3"/>
  <c r="AB10" i="3"/>
  <c r="AA10" i="3"/>
  <c r="Z10" i="3"/>
  <c r="Y10" i="3"/>
  <c r="X10" i="3"/>
  <c r="W10" i="3"/>
  <c r="V10" i="3"/>
  <c r="U10" i="3"/>
  <c r="T10" i="3"/>
  <c r="S10" i="3"/>
  <c r="R10" i="3"/>
  <c r="Q10" i="3"/>
  <c r="P10" i="3"/>
  <c r="O10" i="3"/>
  <c r="N10" i="3"/>
  <c r="M10" i="3"/>
  <c r="L10" i="3"/>
  <c r="K10" i="3"/>
  <c r="J10" i="3"/>
  <c r="I10" i="3"/>
  <c r="H10" i="3"/>
  <c r="AO9" i="3"/>
  <c r="AN9" i="3"/>
  <c r="AM9" i="3"/>
  <c r="AL9" i="3"/>
  <c r="AK9" i="3"/>
  <c r="AJ9" i="3"/>
  <c r="AI9" i="3"/>
  <c r="AH9" i="3"/>
  <c r="AG9" i="3"/>
  <c r="AF9" i="3"/>
  <c r="AE9" i="3"/>
  <c r="AD9" i="3"/>
  <c r="AC9" i="3"/>
  <c r="AB9" i="3"/>
  <c r="AA9" i="3"/>
  <c r="Z9" i="3"/>
  <c r="Y9" i="3"/>
  <c r="X9" i="3"/>
  <c r="W9" i="3"/>
  <c r="V9" i="3"/>
  <c r="U9" i="3"/>
  <c r="T9" i="3"/>
  <c r="S9" i="3"/>
  <c r="R9" i="3"/>
  <c r="Q9" i="3"/>
  <c r="P9" i="3"/>
  <c r="O9" i="3"/>
  <c r="N9" i="3"/>
  <c r="M9" i="3"/>
  <c r="L9" i="3"/>
  <c r="K9" i="3"/>
  <c r="J9" i="3"/>
  <c r="I9" i="3"/>
  <c r="H9" i="3"/>
  <c r="Z15" i="1"/>
  <c r="Y15" i="1"/>
  <c r="X15" i="1"/>
  <c r="W15" i="1"/>
  <c r="V15" i="1"/>
  <c r="U15" i="1"/>
  <c r="T15" i="1"/>
  <c r="S15" i="1"/>
  <c r="R15" i="1"/>
  <c r="Q15" i="1"/>
  <c r="P15" i="1"/>
  <c r="O15" i="1"/>
  <c r="N15" i="1"/>
  <c r="M15" i="1"/>
  <c r="L15" i="1"/>
  <c r="K15" i="1"/>
  <c r="J15" i="1"/>
  <c r="I15" i="1"/>
  <c r="H15" i="1"/>
  <c r="Z14" i="1"/>
  <c r="Y14" i="1"/>
  <c r="X14" i="1"/>
  <c r="W14" i="1"/>
  <c r="V14" i="1"/>
  <c r="U14" i="1"/>
  <c r="T14" i="1"/>
  <c r="S14" i="1"/>
  <c r="R14" i="1"/>
  <c r="Q14" i="1"/>
  <c r="P14" i="1"/>
  <c r="O14" i="1"/>
  <c r="N14" i="1"/>
  <c r="M14" i="1"/>
  <c r="L14" i="1"/>
  <c r="K14" i="1"/>
  <c r="J14" i="1"/>
  <c r="I14" i="1"/>
  <c r="H14" i="1"/>
</calcChain>
</file>

<file path=xl/sharedStrings.xml><?xml version="1.0" encoding="utf-8"?>
<sst xmlns="http://schemas.openxmlformats.org/spreadsheetml/2006/main" count="321" uniqueCount="181">
  <si>
    <t>Cory Shepherd — RTW 7 fortnights: % of full-time role worked</t>
  </si>
  <si>
    <t>Full-time standard = 76 ordinary hours / fortnight (QLD Health) = 10 days × 7.6 hrs (or 76 ÷ day length on that slip). The important figure is **% of full-time worked** = salary hours ÷ 76. Leave columns are also shown as % of the same full-time fortnight capacity.</t>
  </si>
  <si>
    <t>Folder: C:\Users\corys\Downloads\PAYSLIPS_2025_RTW_7_FORTNIGHTS  ·  PAN 00388372  ·  26 Mar – 18 Jun 2025</t>
  </si>
  <si>
    <t>Example: 38 salary hours in a fortnight = 38/76 = 50% of a full-time role that fortnight.</t>
  </si>
  <si>
    <t>#</t>
  </si>
  <si>
    <t>Pay date</t>
  </si>
  <si>
    <t>Fortnight start</t>
  </si>
  <si>
    <t>Fortnight end</t>
  </si>
  <si>
    <t>Day length (hrs)</t>
  </si>
  <si>
    <t>FT hours (standard)</t>
  </si>
  <si>
    <t>FT days (standard)</t>
  </si>
  <si>
    <t>Actual work hours (salary)</t>
  </si>
  <si>
    <t>Actual work days</t>
  </si>
  <si>
    <t>% of full-time WORKED (hours)</t>
  </si>
  <si>
    <t>% of full-time WORKED (days)</t>
  </si>
  <si>
    <t>RDO days</t>
  </si>
  <si>
    <t>RDO as % of FT fortnight</t>
  </si>
  <si>
    <t>Sick leave days</t>
  </si>
  <si>
    <t>Sick as % of FT fortnight</t>
  </si>
  <si>
    <t>Annual/rec leave days</t>
  </si>
  <si>
    <t>Annual/rec as % of FT fortnight</t>
  </si>
  <si>
    <t>Other paid leave days</t>
  </si>
  <si>
    <t>Other leave as % of FT fortnight</t>
  </si>
  <si>
    <t>Unpaid leave days</t>
  </si>
  <si>
    <t>Unpaid as % of FT fortnight</t>
  </si>
  <si>
    <t>All paid leave as % of FT fortnight</t>
  </si>
  <si>
    <t>Total days accounted as % of FT</t>
  </si>
  <si>
    <t>Employer QSuper $</t>
  </si>
  <si>
    <t>Voluntary QSuper $</t>
  </si>
  <si>
    <t>Total QSuper $</t>
  </si>
  <si>
    <t>Notes</t>
  </si>
  <si>
    <t>Source PDF</t>
  </si>
  <si>
    <t>26/03/2025</t>
  </si>
  <si>
    <t>03/03/2025</t>
  </si>
  <si>
    <t>16/03/2025</t>
  </si>
  <si>
    <t>UNFAIR DISMISSAL PAYMENT (not back pay): payslip shows prior-period gross adj $29,390.05 + Previous Ad Hoc Payment banked $20,736.23; Tax Life Benefit ETP lines also present. Only 1 salary work day this fortnight (10% FT). Employer QSuper $4,013.77 is as printed for this pay.</t>
  </si>
  <si>
    <t>Payslips-00388372-20250326.pdf</t>
  </si>
  <si>
    <t>09/04/2025</t>
  </si>
  <si>
    <t>17/03/2025</t>
  </si>
  <si>
    <t>30/03/2025</t>
  </si>
  <si>
    <t>0% work — sick/rec leave fortnight</t>
  </si>
  <si>
    <t>Payslips-00388372-20250409.pdf</t>
  </si>
  <si>
    <t>23/04/2025</t>
  </si>
  <si>
    <t>31/03/2025</t>
  </si>
  <si>
    <t>13/04/2025</t>
  </si>
  <si>
    <t>Payslips-00388372-20250423.pdf</t>
  </si>
  <si>
    <t>07/05/2025</t>
  </si>
  <si>
    <t>14/04/2025</t>
  </si>
  <si>
    <t>27/04/2025</t>
  </si>
  <si>
    <t>Payslips-00388372-20250507.pdf</t>
  </si>
  <si>
    <t>21/05/2025</t>
  </si>
  <si>
    <t>28/04/2025</t>
  </si>
  <si>
    <t>11/05/2025</t>
  </si>
  <si>
    <t>Payslips-00388372-20250521.pdf</t>
  </si>
  <si>
    <t>04/06/2025</t>
  </si>
  <si>
    <t>12/05/2025</t>
  </si>
  <si>
    <t>25/05/2025</t>
  </si>
  <si>
    <t>Payslips-00388372-20250604.pdf</t>
  </si>
  <si>
    <t>18/06/2025</t>
  </si>
  <si>
    <t>26/05/2025</t>
  </si>
  <si>
    <t>08/06/2025</t>
  </si>
  <si>
    <t>Payslips-00388372-20250618.pdf</t>
  </si>
  <si>
    <t>TOTALS</t>
  </si>
  <si>
    <t>AVERAGE / fortnight</t>
  </si>
  <si>
    <t>KEY RESULT — % of full-time role</t>
  </si>
  <si>
    <t>Average % of full-time worked per fortnight (hours basis)</t>
  </si>
  <si>
    <t>Average % of full-time worked per fortnight (days basis)</t>
  </si>
  <si>
    <t>Overall across all 7 fortnights (total work hrs ÷ (76 × 7))</t>
  </si>
  <si>
    <t>Total salary hours worked across 7 fortnights</t>
  </si>
  <si>
    <t>Full-time capacity for 7 fortnights (76 × 7)</t>
  </si>
  <si>
    <t>Total QSuper (employer + voluntary) over 7 fortnights</t>
  </si>
  <si>
    <t>How to read this</t>
  </si>
  <si>
    <t>• 100% = you worked a full-time ordinary load that fortnight (76 hrs / 10 × 7.6 days).
• 50% = half a full-time load (e.g. 38 hrs or ~5 of 10 FT days).
• 0% = no Fortnightly Salary hours (e.g. wholly on leave that period).
• Leave % uses the same FT denominator so work + leave can be compared on one scale.
• RDO taken is leave, not work — it does not count toward % worked.
• Shift penalties do not add work days/hours for FTE % (only Fortnightly Salary hours).
• 26 Mar 2025 lump sum: classified as UNFAIR DISMISSAL PAYMENT (not 'back pay'). It does not increase % of full-time worked.</t>
  </si>
  <si>
    <t>26 March 2025 payslip — unfair dismissal payment (user classification: NOT back pay)</t>
  </si>
  <si>
    <t>On the QH payslip this appears under 'Total Adjustments From Previous Pay Periods (Gross)' and 'Previous Ad Hoc Payment'. For your records it is treated as the unfair dismissal payment, not ordinary back pay for shifts worked. It is kept separate from % of full-time worked.</t>
  </si>
  <si>
    <t>Item</t>
  </si>
  <si>
    <t>Amount</t>
  </si>
  <si>
    <t>Source on payslip</t>
  </si>
  <si>
    <t>Pay Advice</t>
  </si>
  <si>
    <t>Current fortnight gross (ordinary that period)</t>
  </si>
  <si>
    <t>Current Fortnight Gross Pay</t>
  </si>
  <si>
    <t>Unfair dismissal / termination package (gross prior-period adj) — NOT back pay</t>
  </si>
  <si>
    <t>Total Adjustments From Previous Pay Periods (Gross)</t>
  </si>
  <si>
    <t>Total gross that pay (ordinary + adj)</t>
  </si>
  <si>
    <t>Total Gross</t>
  </si>
  <si>
    <t>Previous Ad Hoc Payment banked</t>
  </si>
  <si>
    <t>Bank Disbursements — Previous Ad Hoc Payment</t>
  </si>
  <si>
    <t>Payment banked this pay date</t>
  </si>
  <si>
    <t>Payment Banked Pay Date</t>
  </si>
  <si>
    <t>Net income printed</t>
  </si>
  <si>
    <t>Net Income</t>
  </si>
  <si>
    <t>Tax – Life Benefit ETP (credit line)</t>
  </si>
  <si>
    <t>Tax_-_Life_Benefit_ETP</t>
  </si>
  <si>
    <t>Income tax (scale + STSL) that pay</t>
  </si>
  <si>
    <t>Income Tax-T/Scale- 2 with Accum STSL</t>
  </si>
  <si>
    <t>RemServ pre-tax</t>
  </si>
  <si>
    <t>RemServ_Pre_Tax</t>
  </si>
  <si>
    <t>Voluntary QSuper (employee SS)</t>
  </si>
  <si>
    <t>Super_Vol_SS:QSUPER_ACCUM_PLAN</t>
  </si>
  <si>
    <t>Employer QSuper printed that pay</t>
  </si>
  <si>
    <t>Employer Super Contributions QSUPER_ACCUM_PLAN</t>
  </si>
  <si>
    <t>Life Benefit ETP &lt;cap (adjustment line)</t>
  </si>
  <si>
    <t>Life_Benefit_ETP_&lt;cap - Adjustment</t>
  </si>
  <si>
    <t>Allow N/Tax Adjust NS NOTE</t>
  </si>
  <si>
    <t>Allow_N/TaxAdjust_NS_NOTE 28.02.2025</t>
  </si>
  <si>
    <t>Adjustment breakdown as listed on payslip (for audit only)</t>
  </si>
  <si>
    <t>Financial year</t>
  </si>
  <si>
    <t>FT hours standard</t>
  </si>
  <si>
    <t>FT days standard</t>
  </si>
  <si>
    <t>Work days (salary)</t>
  </si>
  <si>
    <t>Annual / rec leave days</t>
  </si>
  <si>
    <t>Total paid leave days</t>
  </si>
  <si>
    <t>Total days accounted</t>
  </si>
  <si>
    <t>Work hours (salary)</t>
  </si>
  <si>
    <t>RDO hours</t>
  </si>
  <si>
    <t>Sick hours</t>
  </si>
  <si>
    <t>Annual leave hours</t>
  </si>
  <si>
    <t>Unpaid hours</t>
  </si>
  <si>
    <t>% FT worked (hours) — KEY</t>
  </si>
  <si>
    <t>% FT worked (days) — KEY</t>
  </si>
  <si>
    <t>RDO as % of FT</t>
  </si>
  <si>
    <t>Sick as % of FT</t>
  </si>
  <si>
    <t>Annual/rec as % of FT</t>
  </si>
  <si>
    <t>Unpaid as % of FT</t>
  </si>
  <si>
    <t>Pay from worked hours $</t>
  </si>
  <si>
    <t>Pay from leave $</t>
  </si>
  <si>
    <t xml:space="preserve">  · RDO pay $</t>
  </si>
  <si>
    <t xml:space="preserve">  · Sick pay $</t>
  </si>
  <si>
    <t xml:space="preserve">  · Annual/rec + loading $</t>
  </si>
  <si>
    <t xml:space="preserve">  · Other leave pay $</t>
  </si>
  <si>
    <t>Current fortnight gross $</t>
  </si>
  <si>
    <t>Adjustments / unfair dismissal package (gross) $</t>
  </si>
  <si>
    <t>Total gross $</t>
  </si>
  <si>
    <t>Net income $</t>
  </si>
  <si>
    <t>Income tax $</t>
  </si>
  <si>
    <t>RemServ pre-tax $</t>
  </si>
  <si>
    <t>Employee voluntary QSuper $</t>
  </si>
  <si>
    <t>Source file</t>
  </si>
  <si>
    <t>2024-25</t>
  </si>
  <si>
    <t>AVERAGES</t>
  </si>
  <si>
    <t>File</t>
  </si>
  <si>
    <t>Label</t>
  </si>
  <si>
    <t>Category</t>
  </si>
  <si>
    <t>Units/hrs</t>
  </si>
  <si>
    <t>Fortnightly Salary 7.60 7.60 43.1671 328.07</t>
  </si>
  <si>
    <t>salary</t>
  </si>
  <si>
    <t>Rec Leave 7.60 7.60 7.60 7.60 7.60 7.60 7.60 7.60 7.60 68.40 43.1671 2</t>
  </si>
  <si>
    <t>annual</t>
  </si>
  <si>
    <t>Lve Loading 22.92% 8.00 8.00 8.00 8.00 8.00 8.00 8.00 8.00 8.00 72.00 9.8939 712.35</t>
  </si>
  <si>
    <t>leave_loading</t>
  </si>
  <si>
    <t>Rec Leave 7.60 7.60 43.1671 328.07</t>
  </si>
  <si>
    <t>SickLve Cert-Debit Rec 8.05 7.60 8.05 7.60 8.05 8.05 47.40 43.1671 2</t>
  </si>
  <si>
    <t>sick</t>
  </si>
  <si>
    <t>Lve Loading 22.92% 8.00 8.50 8.00 8.50 8.00 8.50 8.50 58.00 9.8939 573.85</t>
  </si>
  <si>
    <t>Sick Leave 8.05 7.60 7.87 23.52 43.1671 1</t>
  </si>
  <si>
    <t>NP Sick Leave 0.23 0.23</t>
  </si>
  <si>
    <t>unpaid</t>
  </si>
  <si>
    <t>Fortnightly Salary 7.10 7.10 7.60 7.60 29.40 43.1671 1</t>
  </si>
  <si>
    <t>Sick Leave 4.17 4.17 43.1671 180.01</t>
  </si>
  <si>
    <t>Fortnightly Salary 7.60 7.60 7.60 7.60 30.40 43.1671 1</t>
  </si>
  <si>
    <t>Shift - Afternoon 15% 8.00 8.00 8.00 24.00 6.4751 155.40</t>
  </si>
  <si>
    <t>work_penalty</t>
  </si>
  <si>
    <t>Fortnightly Salary 7.60 7.60 15.20 43.1671 656.14</t>
  </si>
  <si>
    <t>Shift - Afternoon 15% 8.00 8.00 6.4751 51.80</t>
  </si>
  <si>
    <t>Public Holiday Not Requir 7.60 7.60 43.1671 328.07</t>
  </si>
  <si>
    <t>Fortnightly Salary 7.60 7.60 7.60 7.60 7.60 7.60 45.60 43.1671 1</t>
  </si>
  <si>
    <t>Shift - Night 15% 8.00 8.00 8.00 24.00 6.4751 155.40</t>
  </si>
  <si>
    <t>Shift-Sunday Loading-100% 8.00 8.00 43.1671 345.34</t>
  </si>
  <si>
    <t>Rec Leave 7.60 7.60 15.20 43.1671 656.14</t>
  </si>
  <si>
    <t>Lve Loading 22.92% 8.00 8.00 16.00 9.8939 158.30</t>
  </si>
  <si>
    <t>Sick Leave 6.52 6.52 43.1671 281.45</t>
  </si>
  <si>
    <t>NP Sick Leave 1.08 1.08</t>
  </si>
  <si>
    <t>RDO Taken 7.60 7.60 43.1671 328.07</t>
  </si>
  <si>
    <t>rdo</t>
  </si>
  <si>
    <t>Fortnightly Salary 7.60 4.75 7.60 7.60 27.55 43.1671 1</t>
  </si>
  <si>
    <t>Shift - Sat Loading - 50% 8.00 8.00 21.5836 172.67</t>
  </si>
  <si>
    <t>SickLve Cert-Debit Rec 7.60 7.60 7.60 7.60 30.40 43.1671 1</t>
  </si>
  <si>
    <t>Lve Loading 22.92% 8.00 8.00 8.00 8.00 32.00 9.8939 316.60</t>
  </si>
  <si>
    <t>Sick Leave 3.97 3.97 43.1671 171.37</t>
  </si>
  <si>
    <t>NP Sick Leave 7.60 2.85 3.63 14.08</t>
  </si>
  <si>
    <t>The $29,390.05 is itemised on the slip with payroll codes (e.g. Fortnightly_Salary adjustment $17,715.78, shift loadings, RDO, Term loading, RL_Term, Life Benefit ETP). You classify the package as unfair dismissal payment —. % of full-time worked for 26 Mar uses only the 7.60 salary hours that fortnight (10% 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</si>
</sst>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quot;%&quot;"/>
    <numFmt numFmtId="165" formatCode="&quot;$&quot;#,##0.00"/>
  </numFmts>
  <fonts count="11" x14ac:knownFonts="1">
    <font>
      <sz val="11"/>
      <color theme="1"/>
      <name val="Calibri"/>
      <family val="2"/>
      <scheme val="minor"/>
    </font>
    <font>
      <b/>
      <sz val="14"/>
      <color rgb="FF1F4E79"/>
      <name val="Calibri"/>
      <family val="2"/>
    </font>
    <font>
      <b/>
      <sz val="10"/>
      <color rgb="FFFFFFFF"/>
      <name val="Calibri"/>
      <family val="2"/>
    </font>
    <font>
      <b/>
      <sz val="12"/>
      <name val="Calibri"/>
      <family val="2"/>
    </font>
    <font>
      <b/>
      <sz val="11"/>
      <name val="Calibri"/>
      <family val="2"/>
    </font>
    <font>
      <b/>
      <i/>
      <sz val="11"/>
      <name val="Calibri"/>
      <family val="2"/>
    </font>
    <font>
      <b/>
      <sz val="13"/>
      <color rgb="FF1F4E79"/>
      <name val="Calibri"/>
      <family val="2"/>
    </font>
    <font>
      <b/>
      <sz val="14"/>
      <name val="Calibri"/>
      <family val="2"/>
    </font>
    <font>
      <b/>
      <sz val="13"/>
      <color rgb="FF833C0C"/>
      <name val="Calibri"/>
      <family val="2"/>
    </font>
    <font>
      <b/>
      <sz val="11"/>
      <color rgb="FFFFFFFF"/>
      <name val="Calibri"/>
      <family val="2"/>
    </font>
    <font>
      <i/>
      <sz val="9"/>
      <color rgb="FF666666"/>
      <name val="Calibri"/>
      <family val="2"/>
    </font>
  </fonts>
  <fills count="8">
    <fill>
      <patternFill patternType="none"/>
    </fill>
    <fill>
      <patternFill patternType="gray125"/>
    </fill>
    <fill>
      <patternFill patternType="solid">
        <fgColor rgb="FF1F4E79"/>
      </patternFill>
    </fill>
    <fill>
      <patternFill patternType="solid">
        <fgColor rgb="FFE2EFDA"/>
      </patternFill>
    </fill>
    <fill>
      <patternFill patternType="solid">
        <fgColor rgb="FFFFF2CC"/>
      </patternFill>
    </fill>
    <fill>
      <patternFill patternType="solid">
        <fgColor rgb="FFFCE4D6"/>
      </patternFill>
    </fill>
    <fill>
      <patternFill patternType="solid">
        <fgColor rgb="FFDDEBF7"/>
      </patternFill>
    </fill>
    <fill>
      <patternFill patternType="solid">
        <fgColor rgb="FF833C0C"/>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42">
    <xf numFmtId="0" fontId="0" fillId="0" borderId="0" xfId="0"/>
    <xf numFmtId="0" fontId="1" fillId="0" borderId="0" xfId="0" applyFont="1"/>
    <xf numFmtId="0" fontId="0" fillId="0" borderId="0" xfId="0" applyAlignment="1">
      <alignment wrapText="1"/>
    </xf>
    <xf numFmtId="0" fontId="2" fillId="2" borderId="0" xfId="0" applyFont="1" applyFill="1" applyAlignment="1">
      <alignment horizontal="center" vertical="center" wrapText="1"/>
    </xf>
    <xf numFmtId="0" fontId="0" fillId="0" borderId="1" xfId="0" applyBorder="1" applyAlignment="1">
      <alignment vertical="center"/>
    </xf>
    <xf numFmtId="0" fontId="0" fillId="3" borderId="1" xfId="0" applyFill="1" applyBorder="1" applyAlignment="1">
      <alignment vertical="center"/>
    </xf>
    <xf numFmtId="164" fontId="3" fillId="4" borderId="1" xfId="0" applyNumberFormat="1" applyFont="1" applyFill="1" applyBorder="1" applyAlignment="1">
      <alignment vertical="center"/>
    </xf>
    <xf numFmtId="0" fontId="0" fillId="5" borderId="1" xfId="0" applyFill="1" applyBorder="1" applyAlignment="1">
      <alignment vertical="center"/>
    </xf>
    <xf numFmtId="164" fontId="0" fillId="0" borderId="1" xfId="0" applyNumberFormat="1" applyBorder="1" applyAlignment="1">
      <alignment vertical="center"/>
    </xf>
    <xf numFmtId="4" fontId="0" fillId="6" borderId="1" xfId="0" applyNumberFormat="1" applyFill="1" applyBorder="1" applyAlignment="1">
      <alignment vertical="center"/>
    </xf>
    <xf numFmtId="0" fontId="4" fillId="0" borderId="0" xfId="0" applyFont="1"/>
    <xf numFmtId="0" fontId="4" fillId="3" borderId="0" xfId="0" applyFont="1" applyFill="1"/>
    <xf numFmtId="164" fontId="4" fillId="4" borderId="0" xfId="0" applyNumberFormat="1" applyFont="1" applyFill="1"/>
    <xf numFmtId="164" fontId="4" fillId="0" borderId="0" xfId="0" applyNumberFormat="1" applyFont="1"/>
    <xf numFmtId="4" fontId="4" fillId="6" borderId="0" xfId="0" applyNumberFormat="1" applyFont="1" applyFill="1"/>
    <xf numFmtId="0" fontId="5" fillId="0" borderId="0" xfId="0" applyFont="1"/>
    <xf numFmtId="2" fontId="5" fillId="0" borderId="0" xfId="0" applyNumberFormat="1" applyFont="1"/>
    <xf numFmtId="164" fontId="5" fillId="4" borderId="0" xfId="0" applyNumberFormat="1" applyFont="1" applyFill="1"/>
    <xf numFmtId="164" fontId="5" fillId="0" borderId="0" xfId="0" applyNumberFormat="1" applyFont="1"/>
    <xf numFmtId="4" fontId="5" fillId="0" borderId="0" xfId="0" applyNumberFormat="1" applyFont="1"/>
    <xf numFmtId="0" fontId="6" fillId="0" borderId="0" xfId="0" applyFont="1"/>
    <xf numFmtId="164" fontId="7" fillId="4" borderId="0" xfId="0" applyNumberFormat="1" applyFont="1" applyFill="1"/>
    <xf numFmtId="165" fontId="0" fillId="6" borderId="0" xfId="0" applyNumberFormat="1" applyFill="1"/>
    <xf numFmtId="0" fontId="8" fillId="0" borderId="0" xfId="0" applyFont="1"/>
    <xf numFmtId="0" fontId="9" fillId="7" borderId="0" xfId="0" applyFont="1" applyFill="1"/>
    <xf numFmtId="165" fontId="0" fillId="0" borderId="0" xfId="0" applyNumberFormat="1"/>
    <xf numFmtId="0" fontId="4" fillId="5" borderId="0" xfId="0" applyFont="1" applyFill="1"/>
    <xf numFmtId="165" fontId="0" fillId="5" borderId="0" xfId="0" applyNumberFormat="1" applyFill="1"/>
    <xf numFmtId="0" fontId="10" fillId="0" borderId="0" xfId="0" applyFont="1"/>
    <xf numFmtId="0" fontId="0" fillId="0" borderId="1" xfId="0" applyBorder="1"/>
    <xf numFmtId="164" fontId="4" fillId="4" borderId="1" xfId="0" applyNumberFormat="1" applyFont="1" applyFill="1" applyBorder="1"/>
    <xf numFmtId="164" fontId="0" fillId="0" borderId="1" xfId="0" applyNumberFormat="1" applyBorder="1"/>
    <xf numFmtId="4" fontId="0" fillId="3" borderId="1" xfId="0" applyNumberFormat="1" applyFill="1" applyBorder="1"/>
    <xf numFmtId="4" fontId="0" fillId="5" borderId="1" xfId="0" applyNumberFormat="1" applyFill="1" applyBorder="1"/>
    <xf numFmtId="4" fontId="0" fillId="0" borderId="1" xfId="0" applyNumberFormat="1" applyBorder="1"/>
    <xf numFmtId="4" fontId="0" fillId="6" borderId="1" xfId="0" applyNumberFormat="1" applyFill="1" applyBorder="1"/>
    <xf numFmtId="4" fontId="4" fillId="0" borderId="0" xfId="0" applyNumberFormat="1" applyFont="1"/>
    <xf numFmtId="0" fontId="9" fillId="2" borderId="0" xfId="0" applyFont="1" applyFill="1"/>
    <xf numFmtId="4" fontId="0" fillId="0" borderId="0" xfId="0" applyNumberFormat="1"/>
    <xf numFmtId="0" fontId="0" fillId="0" borderId="0" xfId="0" applyAlignment="1">
      <alignment vertical="top" wrapText="1"/>
    </xf>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26"/>
  <sheetViews>
    <sheetView tabSelected="1" workbookViewId="0">
      <pane xSplit="2" ySplit="6" topLeftCell="C7" activePane="bottomRight" state="frozen"/>
      <selection pane="topRight"/>
      <selection pane="bottomLeft"/>
      <selection pane="bottomRight"/>
    </sheetView>
  </sheetViews>
  <sheetFormatPr defaultRowHeight="15" x14ac:dyDescent="0.25"/>
  <cols>
    <col min="1" max="1" width="14" customWidth="1"/>
    <col min="2" max="2" width="26.140625" customWidth="1"/>
    <col min="3" max="9" width="12" customWidth="1"/>
    <col min="10" max="11" width="16" customWidth="1"/>
    <col min="12" max="26" width="12" customWidth="1"/>
    <col min="27" max="28" width="38" customWidth="1"/>
  </cols>
  <sheetData>
    <row r="1" spans="1:28" ht="18.75" x14ac:dyDescent="0.3">
      <c r="A1" s="1" t="s">
        <v>0</v>
      </c>
    </row>
    <row r="2" spans="1:28" ht="50.1" customHeight="1" x14ac:dyDescent="0.25">
      <c r="A2" s="2" t="s">
        <v>1</v>
      </c>
    </row>
    <row r="3" spans="1:28" x14ac:dyDescent="0.25">
      <c r="A3" t="s">
        <v>2</v>
      </c>
    </row>
    <row r="4" spans="1:28" x14ac:dyDescent="0.25">
      <c r="A4" t="s">
        <v>3</v>
      </c>
    </row>
    <row r="6" spans="1:28" ht="54.95" customHeight="1" x14ac:dyDescent="0.25">
      <c r="A6" s="3" t="s">
        <v>4</v>
      </c>
      <c r="B6" s="3" t="s">
        <v>5</v>
      </c>
      <c r="C6" s="3" t="s">
        <v>6</v>
      </c>
      <c r="D6" s="3" t="s">
        <v>7</v>
      </c>
      <c r="E6" s="3" t="s">
        <v>8</v>
      </c>
      <c r="F6" s="3" t="s">
        <v>9</v>
      </c>
      <c r="G6" s="3" t="s">
        <v>10</v>
      </c>
      <c r="H6" s="3" t="s">
        <v>11</v>
      </c>
      <c r="I6" s="3" t="s">
        <v>12</v>
      </c>
      <c r="J6" s="3" t="s">
        <v>13</v>
      </c>
      <c r="K6" s="3" t="s">
        <v>14</v>
      </c>
      <c r="L6" s="3" t="s">
        <v>15</v>
      </c>
      <c r="M6" s="3" t="s">
        <v>16</v>
      </c>
      <c r="N6" s="3" t="s">
        <v>17</v>
      </c>
      <c r="O6" s="3" t="s">
        <v>18</v>
      </c>
      <c r="P6" s="3" t="s">
        <v>19</v>
      </c>
      <c r="Q6" s="3" t="s">
        <v>20</v>
      </c>
      <c r="R6" s="3" t="s">
        <v>21</v>
      </c>
      <c r="S6" s="3" t="s">
        <v>22</v>
      </c>
      <c r="T6" s="3" t="s">
        <v>23</v>
      </c>
      <c r="U6" s="3" t="s">
        <v>24</v>
      </c>
      <c r="V6" s="3" t="s">
        <v>25</v>
      </c>
      <c r="W6" s="3" t="s">
        <v>26</v>
      </c>
      <c r="X6" s="3" t="s">
        <v>27</v>
      </c>
      <c r="Y6" s="3" t="s">
        <v>28</v>
      </c>
      <c r="Z6" s="3" t="s">
        <v>29</v>
      </c>
      <c r="AA6" s="3" t="s">
        <v>30</v>
      </c>
      <c r="AB6" s="3" t="s">
        <v>31</v>
      </c>
    </row>
    <row r="7" spans="1:28" ht="15.75" x14ac:dyDescent="0.25">
      <c r="A7" s="4">
        <v>1</v>
      </c>
      <c r="B7" s="4" t="s">
        <v>32</v>
      </c>
      <c r="C7" s="4" t="s">
        <v>33</v>
      </c>
      <c r="D7" s="4" t="s">
        <v>34</v>
      </c>
      <c r="E7" s="4">
        <v>7.6</v>
      </c>
      <c r="F7" s="4">
        <v>76</v>
      </c>
      <c r="G7" s="4">
        <v>10</v>
      </c>
      <c r="H7" s="5">
        <v>7.6</v>
      </c>
      <c r="I7" s="5">
        <v>1</v>
      </c>
      <c r="J7" s="6">
        <v>10</v>
      </c>
      <c r="K7" s="6">
        <v>10</v>
      </c>
      <c r="L7" s="7">
        <v>0</v>
      </c>
      <c r="M7" s="8">
        <v>0</v>
      </c>
      <c r="N7" s="7">
        <v>0</v>
      </c>
      <c r="O7" s="8">
        <v>0</v>
      </c>
      <c r="P7" s="7">
        <v>9</v>
      </c>
      <c r="Q7" s="8">
        <v>90</v>
      </c>
      <c r="R7" s="7">
        <v>0</v>
      </c>
      <c r="S7" s="8">
        <v>0</v>
      </c>
      <c r="T7" s="7">
        <v>0</v>
      </c>
      <c r="U7" s="8">
        <v>0</v>
      </c>
      <c r="V7" s="8">
        <v>90</v>
      </c>
      <c r="W7" s="8">
        <v>100</v>
      </c>
      <c r="X7" s="9">
        <v>4013.77</v>
      </c>
      <c r="Y7" s="9">
        <v>1213.8599999999999</v>
      </c>
      <c r="Z7" s="9">
        <v>5227.63</v>
      </c>
      <c r="AA7" s="4" t="s">
        <v>35</v>
      </c>
      <c r="AB7" s="4" t="s">
        <v>36</v>
      </c>
    </row>
    <row r="8" spans="1:28" ht="15.75" x14ac:dyDescent="0.25">
      <c r="A8" s="4">
        <v>2</v>
      </c>
      <c r="B8" s="4" t="s">
        <v>37</v>
      </c>
      <c r="C8" s="4" t="s">
        <v>38</v>
      </c>
      <c r="D8" s="4" t="s">
        <v>39</v>
      </c>
      <c r="E8" s="4">
        <v>7.6</v>
      </c>
      <c r="F8" s="4">
        <v>76</v>
      </c>
      <c r="G8" s="4">
        <v>10</v>
      </c>
      <c r="H8" s="5">
        <v>0</v>
      </c>
      <c r="I8" s="5">
        <v>0</v>
      </c>
      <c r="J8" s="6">
        <v>0</v>
      </c>
      <c r="K8" s="6">
        <v>0</v>
      </c>
      <c r="L8" s="7">
        <v>0</v>
      </c>
      <c r="M8" s="8">
        <v>0</v>
      </c>
      <c r="N8" s="7">
        <v>9.33</v>
      </c>
      <c r="O8" s="8">
        <v>93.3</v>
      </c>
      <c r="P8" s="7">
        <v>1</v>
      </c>
      <c r="Q8" s="8">
        <v>10</v>
      </c>
      <c r="R8" s="7">
        <v>0</v>
      </c>
      <c r="S8" s="8">
        <v>0</v>
      </c>
      <c r="T8" s="7">
        <v>0.03</v>
      </c>
      <c r="U8" s="8">
        <v>0.3</v>
      </c>
      <c r="V8" s="8">
        <v>103.3</v>
      </c>
      <c r="W8" s="8">
        <v>103.6</v>
      </c>
      <c r="X8" s="9">
        <v>490.19</v>
      </c>
      <c r="Y8" s="9">
        <v>163.54</v>
      </c>
      <c r="Z8" s="9">
        <v>653.73</v>
      </c>
      <c r="AA8" s="4" t="s">
        <v>40</v>
      </c>
      <c r="AB8" s="4" t="s">
        <v>41</v>
      </c>
    </row>
    <row r="9" spans="1:28" ht="15.75" x14ac:dyDescent="0.25">
      <c r="A9" s="4">
        <v>3</v>
      </c>
      <c r="B9" s="4" t="s">
        <v>42</v>
      </c>
      <c r="C9" s="4" t="s">
        <v>43</v>
      </c>
      <c r="D9" s="4" t="s">
        <v>44</v>
      </c>
      <c r="E9" s="4">
        <v>7.6</v>
      </c>
      <c r="F9" s="4">
        <v>76</v>
      </c>
      <c r="G9" s="4">
        <v>10</v>
      </c>
      <c r="H9" s="5">
        <v>29.4</v>
      </c>
      <c r="I9" s="5">
        <v>3.87</v>
      </c>
      <c r="J9" s="6">
        <v>38.700000000000003</v>
      </c>
      <c r="K9" s="6">
        <v>38.700000000000003</v>
      </c>
      <c r="L9" s="7">
        <v>0</v>
      </c>
      <c r="M9" s="8">
        <v>0</v>
      </c>
      <c r="N9" s="7">
        <v>0.55000000000000004</v>
      </c>
      <c r="O9" s="8">
        <v>5.5</v>
      </c>
      <c r="P9" s="7">
        <v>0</v>
      </c>
      <c r="Q9" s="8">
        <v>0</v>
      </c>
      <c r="R9" s="7">
        <v>0</v>
      </c>
      <c r="S9" s="8">
        <v>0</v>
      </c>
      <c r="T9" s="7">
        <v>0</v>
      </c>
      <c r="U9" s="8">
        <v>0</v>
      </c>
      <c r="V9" s="8">
        <v>5.5</v>
      </c>
      <c r="W9" s="8">
        <v>44.2</v>
      </c>
      <c r="X9" s="9">
        <v>195.77</v>
      </c>
      <c r="Y9" s="9">
        <v>76.77</v>
      </c>
      <c r="Z9" s="9">
        <v>272.54000000000002</v>
      </c>
      <c r="AA9" s="4"/>
      <c r="AB9" s="4" t="s">
        <v>45</v>
      </c>
    </row>
    <row r="10" spans="1:28" ht="15.75" x14ac:dyDescent="0.25">
      <c r="A10" s="4">
        <v>4</v>
      </c>
      <c r="B10" s="4" t="s">
        <v>46</v>
      </c>
      <c r="C10" s="4" t="s">
        <v>47</v>
      </c>
      <c r="D10" s="4" t="s">
        <v>48</v>
      </c>
      <c r="E10" s="4">
        <v>7.6</v>
      </c>
      <c r="F10" s="4">
        <v>76</v>
      </c>
      <c r="G10" s="4">
        <v>10</v>
      </c>
      <c r="H10" s="5">
        <v>30.4</v>
      </c>
      <c r="I10" s="5">
        <v>4</v>
      </c>
      <c r="J10" s="6">
        <v>40</v>
      </c>
      <c r="K10" s="6">
        <v>40</v>
      </c>
      <c r="L10" s="7">
        <v>0</v>
      </c>
      <c r="M10" s="8">
        <v>0</v>
      </c>
      <c r="N10" s="7">
        <v>0</v>
      </c>
      <c r="O10" s="8">
        <v>0</v>
      </c>
      <c r="P10" s="7">
        <v>0</v>
      </c>
      <c r="Q10" s="8">
        <v>0</v>
      </c>
      <c r="R10" s="7">
        <v>0</v>
      </c>
      <c r="S10" s="8">
        <v>0</v>
      </c>
      <c r="T10" s="7">
        <v>0</v>
      </c>
      <c r="U10" s="8">
        <v>0</v>
      </c>
      <c r="V10" s="8">
        <v>0</v>
      </c>
      <c r="W10" s="8">
        <v>40</v>
      </c>
      <c r="X10" s="9">
        <v>312.62</v>
      </c>
      <c r="Y10" s="9">
        <v>114.82</v>
      </c>
      <c r="Z10" s="9">
        <v>427.44</v>
      </c>
      <c r="AA10" s="4"/>
      <c r="AB10" s="4" t="s">
        <v>49</v>
      </c>
    </row>
    <row r="11" spans="1:28" ht="15.75" x14ac:dyDescent="0.25">
      <c r="A11" s="4">
        <v>5</v>
      </c>
      <c r="B11" s="4" t="s">
        <v>50</v>
      </c>
      <c r="C11" s="4" t="s">
        <v>51</v>
      </c>
      <c r="D11" s="4" t="s">
        <v>52</v>
      </c>
      <c r="E11" s="4">
        <v>7.6</v>
      </c>
      <c r="F11" s="4">
        <v>76</v>
      </c>
      <c r="G11" s="4">
        <v>10</v>
      </c>
      <c r="H11" s="5">
        <v>15.2</v>
      </c>
      <c r="I11" s="5">
        <v>2</v>
      </c>
      <c r="J11" s="6">
        <v>20</v>
      </c>
      <c r="K11" s="6">
        <v>20</v>
      </c>
      <c r="L11" s="7">
        <v>0</v>
      </c>
      <c r="M11" s="8">
        <v>0</v>
      </c>
      <c r="N11" s="7">
        <v>0</v>
      </c>
      <c r="O11" s="8">
        <v>0</v>
      </c>
      <c r="P11" s="7">
        <v>0</v>
      </c>
      <c r="Q11" s="8">
        <v>0</v>
      </c>
      <c r="R11" s="7">
        <v>0</v>
      </c>
      <c r="S11" s="8">
        <v>0</v>
      </c>
      <c r="T11" s="7">
        <v>0</v>
      </c>
      <c r="U11" s="8">
        <v>0</v>
      </c>
      <c r="V11" s="8">
        <v>0</v>
      </c>
      <c r="W11" s="8">
        <v>20</v>
      </c>
      <c r="X11" s="9">
        <v>132.09</v>
      </c>
      <c r="Y11" s="9">
        <v>49.21</v>
      </c>
      <c r="Z11" s="9">
        <v>181.3</v>
      </c>
      <c r="AA11" s="4"/>
      <c r="AB11" s="4" t="s">
        <v>53</v>
      </c>
    </row>
    <row r="12" spans="1:28" ht="15.75" x14ac:dyDescent="0.25">
      <c r="A12" s="4">
        <v>6</v>
      </c>
      <c r="B12" s="4" t="s">
        <v>54</v>
      </c>
      <c r="C12" s="4" t="s">
        <v>55</v>
      </c>
      <c r="D12" s="4" t="s">
        <v>56</v>
      </c>
      <c r="E12" s="4">
        <v>7.6</v>
      </c>
      <c r="F12" s="4">
        <v>76</v>
      </c>
      <c r="G12" s="4">
        <v>10</v>
      </c>
      <c r="H12" s="5">
        <v>45.6</v>
      </c>
      <c r="I12" s="5">
        <v>6</v>
      </c>
      <c r="J12" s="6">
        <v>60</v>
      </c>
      <c r="K12" s="6">
        <v>60</v>
      </c>
      <c r="L12" s="7">
        <v>1</v>
      </c>
      <c r="M12" s="8">
        <v>10</v>
      </c>
      <c r="N12" s="7">
        <v>0.86</v>
      </c>
      <c r="O12" s="8">
        <v>8.6</v>
      </c>
      <c r="P12" s="7">
        <v>2</v>
      </c>
      <c r="Q12" s="8">
        <v>20</v>
      </c>
      <c r="R12" s="7">
        <v>0</v>
      </c>
      <c r="S12" s="8">
        <v>0</v>
      </c>
      <c r="T12" s="7">
        <v>0.14000000000000001</v>
      </c>
      <c r="U12" s="8">
        <v>1.4</v>
      </c>
      <c r="V12" s="8">
        <v>38.6</v>
      </c>
      <c r="W12" s="8">
        <v>100</v>
      </c>
      <c r="X12" s="9">
        <v>502.98</v>
      </c>
      <c r="Y12" s="9">
        <v>161.69999999999999</v>
      </c>
      <c r="Z12" s="9">
        <v>664.68</v>
      </c>
      <c r="AA12" s="4"/>
      <c r="AB12" s="4" t="s">
        <v>57</v>
      </c>
    </row>
    <row r="13" spans="1:28" ht="15.75" x14ac:dyDescent="0.25">
      <c r="A13" s="4">
        <v>7</v>
      </c>
      <c r="B13" s="4" t="s">
        <v>58</v>
      </c>
      <c r="C13" s="4" t="s">
        <v>59</v>
      </c>
      <c r="D13" s="4" t="s">
        <v>60</v>
      </c>
      <c r="E13" s="4">
        <v>7.6</v>
      </c>
      <c r="F13" s="4">
        <v>76</v>
      </c>
      <c r="G13" s="4">
        <v>10</v>
      </c>
      <c r="H13" s="5">
        <v>27.55</v>
      </c>
      <c r="I13" s="5">
        <v>3.63</v>
      </c>
      <c r="J13" s="6">
        <v>36.200000000000003</v>
      </c>
      <c r="K13" s="6">
        <v>36.299999999999997</v>
      </c>
      <c r="L13" s="7">
        <v>0</v>
      </c>
      <c r="M13" s="8">
        <v>0</v>
      </c>
      <c r="N13" s="7">
        <v>4.5199999999999996</v>
      </c>
      <c r="O13" s="8">
        <v>45.2</v>
      </c>
      <c r="P13" s="7">
        <v>0</v>
      </c>
      <c r="Q13" s="8">
        <v>0</v>
      </c>
      <c r="R13" s="7">
        <v>0</v>
      </c>
      <c r="S13" s="8">
        <v>0</v>
      </c>
      <c r="T13" s="7">
        <v>1.85</v>
      </c>
      <c r="U13" s="8">
        <v>18.5</v>
      </c>
      <c r="V13" s="8">
        <v>45.2</v>
      </c>
      <c r="W13" s="8">
        <v>100</v>
      </c>
      <c r="X13" s="9">
        <v>395.29</v>
      </c>
      <c r="Y13" s="9">
        <v>117.24</v>
      </c>
      <c r="Z13" s="9">
        <v>512.53</v>
      </c>
      <c r="AA13" s="4"/>
      <c r="AB13" s="4" t="s">
        <v>61</v>
      </c>
    </row>
    <row r="14" spans="1:28" x14ac:dyDescent="0.25">
      <c r="A14" s="10" t="s">
        <v>62</v>
      </c>
      <c r="H14" s="11">
        <f>SUM(H7:H13)</f>
        <v>155.75000000000003</v>
      </c>
      <c r="I14" s="11">
        <f>SUM(I7:I13)</f>
        <v>20.5</v>
      </c>
      <c r="J14" s="12">
        <f>AVERAGE(J7:J13)</f>
        <v>29.271428571428569</v>
      </c>
      <c r="K14" s="12">
        <f>AVERAGE(K7:K13)</f>
        <v>29.285714285714285</v>
      </c>
      <c r="L14" s="10">
        <f>SUM(L7:L13)</f>
        <v>1</v>
      </c>
      <c r="M14" s="13">
        <f>AVERAGE(M7:M13)</f>
        <v>1.4285714285714286</v>
      </c>
      <c r="N14" s="10">
        <f>SUM(N7:N13)</f>
        <v>15.26</v>
      </c>
      <c r="O14" s="13">
        <f>AVERAGE(O7:O13)</f>
        <v>21.8</v>
      </c>
      <c r="P14" s="10">
        <f>SUM(P7:P13)</f>
        <v>12</v>
      </c>
      <c r="Q14" s="13">
        <f>AVERAGE(Q7:Q13)</f>
        <v>17.142857142857142</v>
      </c>
      <c r="R14" s="10">
        <f>SUM(R7:R13)</f>
        <v>0</v>
      </c>
      <c r="S14" s="13">
        <f>AVERAGE(S7:S13)</f>
        <v>0</v>
      </c>
      <c r="T14" s="10">
        <f>SUM(T7:T13)</f>
        <v>2.02</v>
      </c>
      <c r="U14" s="13">
        <f>AVERAGE(U7:U13)</f>
        <v>2.8857142857142857</v>
      </c>
      <c r="V14" s="13">
        <f>AVERAGE(V7:V13)</f>
        <v>40.371428571428574</v>
      </c>
      <c r="W14" s="13">
        <f>AVERAGE(W7:W13)</f>
        <v>72.542857142857144</v>
      </c>
      <c r="X14" s="14">
        <f>SUM(X7:X13)</f>
        <v>6042.71</v>
      </c>
      <c r="Y14" s="14">
        <f>SUM(Y7:Y13)</f>
        <v>1897.1399999999999</v>
      </c>
      <c r="Z14" s="14">
        <f>SUM(Z7:Z13)</f>
        <v>7939.85</v>
      </c>
    </row>
    <row r="15" spans="1:28" x14ac:dyDescent="0.25">
      <c r="A15" s="15" t="s">
        <v>63</v>
      </c>
      <c r="H15" s="16">
        <f t="shared" ref="H15:Z15" si="0">AVERAGE(H7:H13)</f>
        <v>22.250000000000004</v>
      </c>
      <c r="I15" s="16">
        <f t="shared" si="0"/>
        <v>2.9285714285714284</v>
      </c>
      <c r="J15" s="17">
        <f t="shared" si="0"/>
        <v>29.271428571428569</v>
      </c>
      <c r="K15" s="17">
        <f t="shared" si="0"/>
        <v>29.285714285714285</v>
      </c>
      <c r="L15" s="16">
        <f t="shared" si="0"/>
        <v>0.14285714285714285</v>
      </c>
      <c r="M15" s="18">
        <f t="shared" si="0"/>
        <v>1.4285714285714286</v>
      </c>
      <c r="N15" s="16">
        <f t="shared" si="0"/>
        <v>2.1800000000000002</v>
      </c>
      <c r="O15" s="18">
        <f t="shared" si="0"/>
        <v>21.8</v>
      </c>
      <c r="P15" s="16">
        <f t="shared" si="0"/>
        <v>1.7142857142857142</v>
      </c>
      <c r="Q15" s="18">
        <f t="shared" si="0"/>
        <v>17.142857142857142</v>
      </c>
      <c r="R15" s="16">
        <f t="shared" si="0"/>
        <v>0</v>
      </c>
      <c r="S15" s="18">
        <f t="shared" si="0"/>
        <v>0</v>
      </c>
      <c r="T15" s="16">
        <f t="shared" si="0"/>
        <v>0.28857142857142859</v>
      </c>
      <c r="U15" s="18">
        <f t="shared" si="0"/>
        <v>2.8857142857142857</v>
      </c>
      <c r="V15" s="18">
        <f t="shared" si="0"/>
        <v>40.371428571428574</v>
      </c>
      <c r="W15" s="18">
        <f t="shared" si="0"/>
        <v>72.542857142857144</v>
      </c>
      <c r="X15" s="19">
        <f t="shared" si="0"/>
        <v>863.24428571428575</v>
      </c>
      <c r="Y15" s="19">
        <f t="shared" si="0"/>
        <v>271.02</v>
      </c>
      <c r="Z15" s="19">
        <f t="shared" si="0"/>
        <v>1134.2642857142857</v>
      </c>
    </row>
    <row r="17" spans="1:8" ht="17.25" x14ac:dyDescent="0.3">
      <c r="A17" s="20" t="s">
        <v>64</v>
      </c>
    </row>
    <row r="18" spans="1:8" ht="18.75" x14ac:dyDescent="0.3">
      <c r="A18" t="s">
        <v>65</v>
      </c>
      <c r="B18" s="21">
        <v>29.3</v>
      </c>
    </row>
    <row r="19" spans="1:8" ht="18.75" x14ac:dyDescent="0.3">
      <c r="A19" t="s">
        <v>66</v>
      </c>
      <c r="B19" s="21">
        <v>29.3</v>
      </c>
    </row>
    <row r="20" spans="1:8" ht="18.75" x14ac:dyDescent="0.3">
      <c r="A20" t="s">
        <v>67</v>
      </c>
      <c r="B20" s="21">
        <v>29.3</v>
      </c>
    </row>
    <row r="21" spans="1:8" x14ac:dyDescent="0.25">
      <c r="A21" t="s">
        <v>68</v>
      </c>
      <c r="B21">
        <v>155.75</v>
      </c>
    </row>
    <row r="22" spans="1:8" x14ac:dyDescent="0.25">
      <c r="A22" t="s">
        <v>69</v>
      </c>
      <c r="B22">
        <v>532</v>
      </c>
    </row>
    <row r="23" spans="1:8" x14ac:dyDescent="0.25">
      <c r="A23" t="s">
        <v>70</v>
      </c>
      <c r="B23" s="22">
        <v>7939.85</v>
      </c>
    </row>
    <row r="25" spans="1:8" x14ac:dyDescent="0.25">
      <c r="A25" s="10" t="s">
        <v>71</v>
      </c>
    </row>
    <row r="26" spans="1:8" ht="105" customHeight="1" x14ac:dyDescent="0.25">
      <c r="A26" s="39" t="s">
        <v>72</v>
      </c>
      <c r="B26" s="40"/>
      <c r="C26" s="40"/>
      <c r="D26" s="40"/>
      <c r="E26" s="40"/>
      <c r="F26" s="40"/>
      <c r="G26" s="40"/>
      <c r="H26" s="40"/>
    </row>
  </sheetData>
  <autoFilter ref="A6:AB6" xr:uid="{00000000-0009-0000-0000-000000000000}"/>
  <mergeCells count="1">
    <mergeCell ref="A26:H2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3"/>
  <sheetViews>
    <sheetView topLeftCell="A7" workbookViewId="0">
      <selection activeCell="B24" sqref="B24"/>
    </sheetView>
  </sheetViews>
  <sheetFormatPr defaultRowHeight="15" x14ac:dyDescent="0.25"/>
  <cols>
    <col min="1" max="1" width="55" customWidth="1"/>
    <col min="2" max="2" width="18" customWidth="1"/>
    <col min="3" max="3" width="70" customWidth="1"/>
  </cols>
  <sheetData>
    <row r="1" spans="1:3" ht="17.25" x14ac:dyDescent="0.3">
      <c r="A1" s="23" t="s">
        <v>73</v>
      </c>
    </row>
    <row r="2" spans="1:3" ht="50.1" customHeight="1" x14ac:dyDescent="0.25">
      <c r="A2" s="2" t="s">
        <v>74</v>
      </c>
    </row>
    <row r="4" spans="1:3" x14ac:dyDescent="0.25">
      <c r="A4" s="24" t="s">
        <v>75</v>
      </c>
      <c r="B4" s="24" t="s">
        <v>76</v>
      </c>
      <c r="C4" s="24" t="s">
        <v>77</v>
      </c>
    </row>
    <row r="5" spans="1:3" x14ac:dyDescent="0.25">
      <c r="A5" t="s">
        <v>5</v>
      </c>
      <c r="B5" t="s">
        <v>32</v>
      </c>
      <c r="C5" t="s">
        <v>78</v>
      </c>
    </row>
    <row r="6" spans="1:3" x14ac:dyDescent="0.25">
      <c r="A6" t="s">
        <v>79</v>
      </c>
      <c r="B6" s="25">
        <v>3993.05</v>
      </c>
      <c r="C6" t="s">
        <v>80</v>
      </c>
    </row>
    <row r="7" spans="1:3" x14ac:dyDescent="0.25">
      <c r="A7" s="26" t="s">
        <v>81</v>
      </c>
      <c r="B7" s="27">
        <v>29390.05</v>
      </c>
      <c r="C7" t="s">
        <v>82</v>
      </c>
    </row>
    <row r="8" spans="1:3" x14ac:dyDescent="0.25">
      <c r="A8" t="s">
        <v>83</v>
      </c>
      <c r="B8" s="25">
        <v>33383.1</v>
      </c>
      <c r="C8" t="s">
        <v>84</v>
      </c>
    </row>
    <row r="9" spans="1:3" x14ac:dyDescent="0.25">
      <c r="A9" t="s">
        <v>85</v>
      </c>
      <c r="B9" s="25">
        <v>20736.23</v>
      </c>
      <c r="C9" t="s">
        <v>86</v>
      </c>
    </row>
    <row r="10" spans="1:3" x14ac:dyDescent="0.25">
      <c r="A10" t="s">
        <v>87</v>
      </c>
      <c r="B10" s="25">
        <v>3039.55</v>
      </c>
      <c r="C10" t="s">
        <v>88</v>
      </c>
    </row>
    <row r="11" spans="1:3" x14ac:dyDescent="0.25">
      <c r="A11" t="s">
        <v>89</v>
      </c>
      <c r="B11" s="25">
        <v>23775.78</v>
      </c>
      <c r="C11" t="s">
        <v>90</v>
      </c>
    </row>
    <row r="12" spans="1:3" x14ac:dyDescent="0.25">
      <c r="A12" t="s">
        <v>91</v>
      </c>
      <c r="B12" s="25">
        <v>37</v>
      </c>
      <c r="C12" t="s">
        <v>92</v>
      </c>
    </row>
    <row r="13" spans="1:3" x14ac:dyDescent="0.25">
      <c r="A13" t="s">
        <v>93</v>
      </c>
      <c r="B13" s="25">
        <v>-8076</v>
      </c>
      <c r="C13" t="s">
        <v>94</v>
      </c>
    </row>
    <row r="14" spans="1:3" x14ac:dyDescent="0.25">
      <c r="A14" t="s">
        <v>95</v>
      </c>
      <c r="B14" s="25">
        <v>-354.46</v>
      </c>
      <c r="C14" t="s">
        <v>96</v>
      </c>
    </row>
    <row r="15" spans="1:3" x14ac:dyDescent="0.25">
      <c r="A15" t="s">
        <v>97</v>
      </c>
      <c r="B15" s="25">
        <v>-1213.8599999999999</v>
      </c>
      <c r="C15" t="s">
        <v>98</v>
      </c>
    </row>
    <row r="16" spans="1:3" x14ac:dyDescent="0.25">
      <c r="A16" t="s">
        <v>99</v>
      </c>
      <c r="B16" s="25">
        <v>4013.77</v>
      </c>
      <c r="C16" t="s">
        <v>100</v>
      </c>
    </row>
    <row r="17" spans="1:3" x14ac:dyDescent="0.25">
      <c r="A17" t="s">
        <v>101</v>
      </c>
      <c r="B17" s="25">
        <v>-116.55</v>
      </c>
      <c r="C17" t="s">
        <v>102</v>
      </c>
    </row>
    <row r="18" spans="1:3" x14ac:dyDescent="0.25">
      <c r="A18" t="s">
        <v>103</v>
      </c>
      <c r="B18" s="25">
        <v>5000</v>
      </c>
      <c r="C18" t="s">
        <v>104</v>
      </c>
    </row>
    <row r="20" spans="1:3" x14ac:dyDescent="0.25">
      <c r="A20" s="10" t="s">
        <v>105</v>
      </c>
    </row>
    <row r="21" spans="1:3" ht="69.95" customHeight="1" x14ac:dyDescent="0.25">
      <c r="A21" s="41" t="s">
        <v>180</v>
      </c>
      <c r="B21" s="40"/>
      <c r="C21" s="40"/>
    </row>
    <row r="23" spans="1:3" x14ac:dyDescent="0.25">
      <c r="A23" s="28"/>
    </row>
  </sheetData>
  <mergeCells count="1">
    <mergeCell ref="A21:C2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Q10"/>
  <sheetViews>
    <sheetView workbookViewId="0">
      <pane xSplit="2" ySplit="1" topLeftCell="D2" activePane="bottomRight" state="frozen"/>
      <selection pane="topRight"/>
      <selection pane="bottomLeft"/>
      <selection pane="bottomRight"/>
    </sheetView>
  </sheetViews>
  <sheetFormatPr defaultRowHeight="15" x14ac:dyDescent="0.25"/>
  <cols>
    <col min="1" max="1" width="12" customWidth="1"/>
    <col min="2" max="20" width="11" customWidth="1"/>
    <col min="21" max="22" width="14" customWidth="1"/>
    <col min="23" max="43" width="11" customWidth="1"/>
  </cols>
  <sheetData>
    <row r="1" spans="1:43" ht="50.1" customHeight="1" x14ac:dyDescent="0.25">
      <c r="A1" s="3" t="s">
        <v>106</v>
      </c>
      <c r="B1" s="3" t="s">
        <v>5</v>
      </c>
      <c r="C1" s="3" t="s">
        <v>6</v>
      </c>
      <c r="D1" s="3" t="s">
        <v>7</v>
      </c>
      <c r="E1" s="3" t="s">
        <v>8</v>
      </c>
      <c r="F1" s="3" t="s">
        <v>107</v>
      </c>
      <c r="G1" s="3" t="s">
        <v>108</v>
      </c>
      <c r="H1" s="3" t="s">
        <v>109</v>
      </c>
      <c r="I1" s="3" t="s">
        <v>15</v>
      </c>
      <c r="J1" s="3" t="s">
        <v>17</v>
      </c>
      <c r="K1" s="3" t="s">
        <v>110</v>
      </c>
      <c r="L1" s="3" t="s">
        <v>21</v>
      </c>
      <c r="M1" s="3" t="s">
        <v>23</v>
      </c>
      <c r="N1" s="3" t="s">
        <v>111</v>
      </c>
      <c r="O1" s="3" t="s">
        <v>112</v>
      </c>
      <c r="P1" s="3" t="s">
        <v>113</v>
      </c>
      <c r="Q1" s="3" t="s">
        <v>114</v>
      </c>
      <c r="R1" s="3" t="s">
        <v>115</v>
      </c>
      <c r="S1" s="3" t="s">
        <v>116</v>
      </c>
      <c r="T1" s="3" t="s">
        <v>117</v>
      </c>
      <c r="U1" s="3" t="s">
        <v>118</v>
      </c>
      <c r="V1" s="3" t="s">
        <v>119</v>
      </c>
      <c r="W1" s="3" t="s">
        <v>120</v>
      </c>
      <c r="X1" s="3" t="s">
        <v>121</v>
      </c>
      <c r="Y1" s="3" t="s">
        <v>122</v>
      </c>
      <c r="Z1" s="3" t="s">
        <v>123</v>
      </c>
      <c r="AA1" s="3" t="s">
        <v>124</v>
      </c>
      <c r="AB1" s="3" t="s">
        <v>125</v>
      </c>
      <c r="AC1" s="3" t="s">
        <v>126</v>
      </c>
      <c r="AD1" s="3" t="s">
        <v>127</v>
      </c>
      <c r="AE1" s="3" t="s">
        <v>128</v>
      </c>
      <c r="AF1" s="3" t="s">
        <v>129</v>
      </c>
      <c r="AG1" s="3" t="s">
        <v>130</v>
      </c>
      <c r="AH1" s="3" t="s">
        <v>131</v>
      </c>
      <c r="AI1" s="3" t="s">
        <v>132</v>
      </c>
      <c r="AJ1" s="3" t="s">
        <v>133</v>
      </c>
      <c r="AK1" s="3" t="s">
        <v>134</v>
      </c>
      <c r="AL1" s="3" t="s">
        <v>135</v>
      </c>
      <c r="AM1" s="3" t="s">
        <v>136</v>
      </c>
      <c r="AN1" s="3" t="s">
        <v>27</v>
      </c>
      <c r="AO1" s="3" t="s">
        <v>29</v>
      </c>
      <c r="AP1" s="3" t="s">
        <v>137</v>
      </c>
      <c r="AQ1" s="3" t="s">
        <v>30</v>
      </c>
    </row>
    <row r="2" spans="1:43" x14ac:dyDescent="0.25">
      <c r="A2" s="29" t="s">
        <v>138</v>
      </c>
      <c r="B2" s="29" t="s">
        <v>32</v>
      </c>
      <c r="C2" s="29" t="s">
        <v>33</v>
      </c>
      <c r="D2" s="29" t="s">
        <v>34</v>
      </c>
      <c r="E2" s="29">
        <v>7.6</v>
      </c>
      <c r="F2" s="29">
        <v>76</v>
      </c>
      <c r="G2" s="29">
        <v>10</v>
      </c>
      <c r="H2" s="29">
        <v>1</v>
      </c>
      <c r="I2" s="29">
        <v>0</v>
      </c>
      <c r="J2" s="29">
        <v>0</v>
      </c>
      <c r="K2" s="29">
        <v>9</v>
      </c>
      <c r="L2" s="29">
        <v>0</v>
      </c>
      <c r="M2" s="29">
        <v>0</v>
      </c>
      <c r="N2" s="29">
        <v>9</v>
      </c>
      <c r="O2" s="29">
        <v>10</v>
      </c>
      <c r="P2" s="29">
        <v>7.6</v>
      </c>
      <c r="Q2" s="29">
        <v>0</v>
      </c>
      <c r="R2" s="29">
        <v>0</v>
      </c>
      <c r="S2" s="29">
        <v>68.400000000000006</v>
      </c>
      <c r="T2" s="29">
        <v>0</v>
      </c>
      <c r="U2" s="30">
        <v>10</v>
      </c>
      <c r="V2" s="30">
        <v>10</v>
      </c>
      <c r="W2" s="31">
        <v>0</v>
      </c>
      <c r="X2" s="31">
        <v>0</v>
      </c>
      <c r="Y2" s="31">
        <v>90</v>
      </c>
      <c r="Z2" s="31">
        <v>0</v>
      </c>
      <c r="AA2" s="32">
        <v>328.07</v>
      </c>
      <c r="AB2" s="33">
        <v>3664.98</v>
      </c>
      <c r="AC2" s="34">
        <v>0</v>
      </c>
      <c r="AD2" s="34">
        <v>0</v>
      </c>
      <c r="AE2" s="34">
        <v>3664.98</v>
      </c>
      <c r="AF2" s="34">
        <v>0</v>
      </c>
      <c r="AG2" s="34">
        <v>3993.05</v>
      </c>
      <c r="AH2" s="34">
        <v>29390.05</v>
      </c>
      <c r="AI2" s="34">
        <v>33383.1</v>
      </c>
      <c r="AJ2" s="34">
        <v>23775.78</v>
      </c>
      <c r="AK2" s="34">
        <v>-8076</v>
      </c>
      <c r="AL2" s="34">
        <v>-354.46</v>
      </c>
      <c r="AM2" s="35">
        <v>1213.8599999999999</v>
      </c>
      <c r="AN2" s="35">
        <v>4013.77</v>
      </c>
      <c r="AO2" s="35">
        <v>5227.63</v>
      </c>
      <c r="AP2" s="29" t="s">
        <v>36</v>
      </c>
      <c r="AQ2" s="29" t="s">
        <v>35</v>
      </c>
    </row>
    <row r="3" spans="1:43" x14ac:dyDescent="0.25">
      <c r="A3" s="29" t="s">
        <v>138</v>
      </c>
      <c r="B3" s="29" t="s">
        <v>37</v>
      </c>
      <c r="C3" s="29" t="s">
        <v>38</v>
      </c>
      <c r="D3" s="29" t="s">
        <v>39</v>
      </c>
      <c r="E3" s="29">
        <v>7.6</v>
      </c>
      <c r="F3" s="29">
        <v>76</v>
      </c>
      <c r="G3" s="29">
        <v>10</v>
      </c>
      <c r="H3" s="29">
        <v>0</v>
      </c>
      <c r="I3" s="29">
        <v>0</v>
      </c>
      <c r="J3" s="29">
        <v>9.33</v>
      </c>
      <c r="K3" s="29">
        <v>1</v>
      </c>
      <c r="L3" s="29">
        <v>0</v>
      </c>
      <c r="M3" s="29">
        <v>0.03</v>
      </c>
      <c r="N3" s="29">
        <v>10.33</v>
      </c>
      <c r="O3" s="29">
        <v>10.36</v>
      </c>
      <c r="P3" s="29">
        <v>0</v>
      </c>
      <c r="Q3" s="29">
        <v>0</v>
      </c>
      <c r="R3" s="29">
        <v>70.92</v>
      </c>
      <c r="S3" s="29">
        <v>7.6</v>
      </c>
      <c r="T3" s="29">
        <v>0.23</v>
      </c>
      <c r="U3" s="30">
        <v>0</v>
      </c>
      <c r="V3" s="30">
        <v>0</v>
      </c>
      <c r="W3" s="31">
        <v>0</v>
      </c>
      <c r="X3" s="31">
        <v>93.3</v>
      </c>
      <c r="Y3" s="31">
        <v>10</v>
      </c>
      <c r="Z3" s="31">
        <v>0.3</v>
      </c>
      <c r="AA3" s="32">
        <v>0</v>
      </c>
      <c r="AB3" s="33">
        <v>3963.36</v>
      </c>
      <c r="AC3" s="34">
        <v>0</v>
      </c>
      <c r="AD3" s="34">
        <v>3061.44</v>
      </c>
      <c r="AE3" s="34">
        <v>901.92</v>
      </c>
      <c r="AF3" s="34">
        <v>0</v>
      </c>
      <c r="AG3" s="34">
        <v>3844.65</v>
      </c>
      <c r="AH3" s="34">
        <v>0</v>
      </c>
      <c r="AI3" s="34">
        <v>3844.65</v>
      </c>
      <c r="AJ3" s="34">
        <v>2464.65</v>
      </c>
      <c r="AK3" s="34">
        <v>-862</v>
      </c>
      <c r="AL3" s="34">
        <v>-354.46</v>
      </c>
      <c r="AM3" s="35">
        <v>163.54</v>
      </c>
      <c r="AN3" s="35">
        <v>490.19</v>
      </c>
      <c r="AO3" s="35">
        <v>653.73</v>
      </c>
      <c r="AP3" s="29" t="s">
        <v>41</v>
      </c>
      <c r="AQ3" s="29" t="s">
        <v>40</v>
      </c>
    </row>
    <row r="4" spans="1:43" x14ac:dyDescent="0.25">
      <c r="A4" s="29" t="s">
        <v>138</v>
      </c>
      <c r="B4" s="29" t="s">
        <v>42</v>
      </c>
      <c r="C4" s="29" t="s">
        <v>43</v>
      </c>
      <c r="D4" s="29" t="s">
        <v>44</v>
      </c>
      <c r="E4" s="29">
        <v>7.6</v>
      </c>
      <c r="F4" s="29">
        <v>76</v>
      </c>
      <c r="G4" s="29">
        <v>10</v>
      </c>
      <c r="H4" s="29">
        <v>3.87</v>
      </c>
      <c r="I4" s="29">
        <v>0</v>
      </c>
      <c r="J4" s="29">
        <v>0.55000000000000004</v>
      </c>
      <c r="K4" s="29">
        <v>0</v>
      </c>
      <c r="L4" s="29">
        <v>0</v>
      </c>
      <c r="M4" s="29">
        <v>0</v>
      </c>
      <c r="N4" s="29">
        <v>0.55000000000000004</v>
      </c>
      <c r="O4" s="29">
        <v>4.42</v>
      </c>
      <c r="P4" s="29">
        <v>29.4</v>
      </c>
      <c r="Q4" s="29">
        <v>0</v>
      </c>
      <c r="R4" s="29">
        <v>4.17</v>
      </c>
      <c r="S4" s="29">
        <v>0</v>
      </c>
      <c r="T4" s="29">
        <v>0</v>
      </c>
      <c r="U4" s="30">
        <v>38.700000000000003</v>
      </c>
      <c r="V4" s="30">
        <v>38.700000000000003</v>
      </c>
      <c r="W4" s="31">
        <v>0</v>
      </c>
      <c r="X4" s="31">
        <v>5.5</v>
      </c>
      <c r="Y4" s="31">
        <v>0</v>
      </c>
      <c r="Z4" s="31">
        <v>0</v>
      </c>
      <c r="AA4" s="32">
        <v>1269.1099999999999</v>
      </c>
      <c r="AB4" s="33">
        <v>180.01</v>
      </c>
      <c r="AC4" s="34">
        <v>0</v>
      </c>
      <c r="AD4" s="34">
        <v>180.01</v>
      </c>
      <c r="AE4" s="34">
        <v>0</v>
      </c>
      <c r="AF4" s="34">
        <v>0</v>
      </c>
      <c r="AG4" s="34">
        <v>1535.45</v>
      </c>
      <c r="AH4" s="34">
        <v>0</v>
      </c>
      <c r="AI4" s="34">
        <v>1535.45</v>
      </c>
      <c r="AJ4" s="34">
        <v>1032.22</v>
      </c>
      <c r="AK4" s="34">
        <v>-72</v>
      </c>
      <c r="AL4" s="34">
        <v>-354.46</v>
      </c>
      <c r="AM4" s="35">
        <v>76.77</v>
      </c>
      <c r="AN4" s="35">
        <v>195.77</v>
      </c>
      <c r="AO4" s="35">
        <v>272.54000000000002</v>
      </c>
      <c r="AP4" s="29" t="s">
        <v>45</v>
      </c>
      <c r="AQ4" s="29"/>
    </row>
    <row r="5" spans="1:43" x14ac:dyDescent="0.25">
      <c r="A5" s="29" t="s">
        <v>138</v>
      </c>
      <c r="B5" s="29" t="s">
        <v>46</v>
      </c>
      <c r="C5" s="29" t="s">
        <v>47</v>
      </c>
      <c r="D5" s="29" t="s">
        <v>48</v>
      </c>
      <c r="E5" s="29">
        <v>7.6</v>
      </c>
      <c r="F5" s="29">
        <v>76</v>
      </c>
      <c r="G5" s="29">
        <v>10</v>
      </c>
      <c r="H5" s="29">
        <v>4</v>
      </c>
      <c r="I5" s="29">
        <v>0</v>
      </c>
      <c r="J5" s="29">
        <v>0</v>
      </c>
      <c r="K5" s="29">
        <v>0</v>
      </c>
      <c r="L5" s="29">
        <v>0</v>
      </c>
      <c r="M5" s="29">
        <v>0</v>
      </c>
      <c r="N5" s="29">
        <v>0</v>
      </c>
      <c r="O5" s="29">
        <v>4</v>
      </c>
      <c r="P5" s="29">
        <v>30.4</v>
      </c>
      <c r="Q5" s="29">
        <v>0</v>
      </c>
      <c r="R5" s="29">
        <v>0</v>
      </c>
      <c r="S5" s="29">
        <v>0</v>
      </c>
      <c r="T5" s="29">
        <v>0</v>
      </c>
      <c r="U5" s="30">
        <v>40</v>
      </c>
      <c r="V5" s="30">
        <v>40</v>
      </c>
      <c r="W5" s="31">
        <v>0</v>
      </c>
      <c r="X5" s="31">
        <v>0</v>
      </c>
      <c r="Y5" s="31">
        <v>0</v>
      </c>
      <c r="Z5" s="31">
        <v>0</v>
      </c>
      <c r="AA5" s="32">
        <v>1467.68</v>
      </c>
      <c r="AB5" s="33">
        <v>0</v>
      </c>
      <c r="AC5" s="34">
        <v>0</v>
      </c>
      <c r="AD5" s="34">
        <v>0</v>
      </c>
      <c r="AE5" s="34">
        <v>0</v>
      </c>
      <c r="AF5" s="34">
        <v>0</v>
      </c>
      <c r="AG5" s="34">
        <v>2451.89</v>
      </c>
      <c r="AH5" s="34">
        <v>0</v>
      </c>
      <c r="AI5" s="34">
        <v>2451.89</v>
      </c>
      <c r="AJ5" s="34">
        <v>1702.61</v>
      </c>
      <c r="AK5" s="34">
        <v>-280</v>
      </c>
      <c r="AL5" s="34">
        <v>-354.46</v>
      </c>
      <c r="AM5" s="35">
        <v>114.82</v>
      </c>
      <c r="AN5" s="35">
        <v>312.62</v>
      </c>
      <c r="AO5" s="35">
        <v>427.44</v>
      </c>
      <c r="AP5" s="29" t="s">
        <v>49</v>
      </c>
      <c r="AQ5" s="29"/>
    </row>
    <row r="6" spans="1:43" x14ac:dyDescent="0.25">
      <c r="A6" s="29" t="s">
        <v>138</v>
      </c>
      <c r="B6" s="29" t="s">
        <v>50</v>
      </c>
      <c r="C6" s="29" t="s">
        <v>51</v>
      </c>
      <c r="D6" s="29" t="s">
        <v>52</v>
      </c>
      <c r="E6" s="29">
        <v>7.6</v>
      </c>
      <c r="F6" s="29">
        <v>76</v>
      </c>
      <c r="G6" s="29">
        <v>10</v>
      </c>
      <c r="H6" s="29">
        <v>2</v>
      </c>
      <c r="I6" s="29">
        <v>0</v>
      </c>
      <c r="J6" s="29">
        <v>0</v>
      </c>
      <c r="K6" s="29">
        <v>0</v>
      </c>
      <c r="L6" s="29">
        <v>0</v>
      </c>
      <c r="M6" s="29">
        <v>0</v>
      </c>
      <c r="N6" s="29">
        <v>0</v>
      </c>
      <c r="O6" s="29">
        <v>2</v>
      </c>
      <c r="P6" s="29">
        <v>15.2</v>
      </c>
      <c r="Q6" s="29">
        <v>0</v>
      </c>
      <c r="R6" s="29">
        <v>0</v>
      </c>
      <c r="S6" s="29">
        <v>0</v>
      </c>
      <c r="T6" s="29">
        <v>0</v>
      </c>
      <c r="U6" s="30">
        <v>20</v>
      </c>
      <c r="V6" s="30">
        <v>20</v>
      </c>
      <c r="W6" s="31">
        <v>0</v>
      </c>
      <c r="X6" s="31">
        <v>0</v>
      </c>
      <c r="Y6" s="31">
        <v>0</v>
      </c>
      <c r="Z6" s="31">
        <v>0</v>
      </c>
      <c r="AA6" s="32">
        <v>1036.01</v>
      </c>
      <c r="AB6" s="33">
        <v>0</v>
      </c>
      <c r="AC6" s="34">
        <v>0</v>
      </c>
      <c r="AD6" s="34">
        <v>0</v>
      </c>
      <c r="AE6" s="34">
        <v>0</v>
      </c>
      <c r="AF6" s="34">
        <v>0</v>
      </c>
      <c r="AG6" s="34">
        <v>1036.01</v>
      </c>
      <c r="AH6" s="34">
        <v>0</v>
      </c>
      <c r="AI6" s="34">
        <v>1036.01</v>
      </c>
      <c r="AJ6" s="34">
        <v>632.34</v>
      </c>
      <c r="AK6" s="34">
        <v>0</v>
      </c>
      <c r="AL6" s="34">
        <v>-354.46</v>
      </c>
      <c r="AM6" s="35">
        <v>49.21</v>
      </c>
      <c r="AN6" s="35">
        <v>132.09</v>
      </c>
      <c r="AO6" s="35">
        <v>181.3</v>
      </c>
      <c r="AP6" s="29" t="s">
        <v>53</v>
      </c>
      <c r="AQ6" s="29"/>
    </row>
    <row r="7" spans="1:43" x14ac:dyDescent="0.25">
      <c r="A7" s="29" t="s">
        <v>138</v>
      </c>
      <c r="B7" s="29" t="s">
        <v>54</v>
      </c>
      <c r="C7" s="29" t="s">
        <v>55</v>
      </c>
      <c r="D7" s="29" t="s">
        <v>56</v>
      </c>
      <c r="E7" s="29">
        <v>7.6</v>
      </c>
      <c r="F7" s="29">
        <v>76</v>
      </c>
      <c r="G7" s="29">
        <v>10</v>
      </c>
      <c r="H7" s="29">
        <v>6</v>
      </c>
      <c r="I7" s="29">
        <v>1</v>
      </c>
      <c r="J7" s="29">
        <v>0.86</v>
      </c>
      <c r="K7" s="29">
        <v>2</v>
      </c>
      <c r="L7" s="29">
        <v>0</v>
      </c>
      <c r="M7" s="29">
        <v>0.14000000000000001</v>
      </c>
      <c r="N7" s="29">
        <v>3.86</v>
      </c>
      <c r="O7" s="29">
        <v>10</v>
      </c>
      <c r="P7" s="29">
        <v>45.6</v>
      </c>
      <c r="Q7" s="29">
        <v>7.6</v>
      </c>
      <c r="R7" s="29">
        <v>6.52</v>
      </c>
      <c r="S7" s="29">
        <v>15.2</v>
      </c>
      <c r="T7" s="29">
        <v>1.08</v>
      </c>
      <c r="U7" s="30">
        <v>60</v>
      </c>
      <c r="V7" s="30">
        <v>60</v>
      </c>
      <c r="W7" s="31">
        <v>10</v>
      </c>
      <c r="X7" s="31">
        <v>8.6</v>
      </c>
      <c r="Y7" s="31">
        <v>20</v>
      </c>
      <c r="Z7" s="31">
        <v>1.4</v>
      </c>
      <c r="AA7" s="32">
        <v>2520.96</v>
      </c>
      <c r="AB7" s="33">
        <v>1423.96</v>
      </c>
      <c r="AC7" s="34">
        <v>328.07</v>
      </c>
      <c r="AD7" s="34">
        <v>281.45</v>
      </c>
      <c r="AE7" s="34">
        <v>814.44</v>
      </c>
      <c r="AF7" s="34">
        <v>0</v>
      </c>
      <c r="AG7" s="34">
        <v>3944.92</v>
      </c>
      <c r="AH7" s="34">
        <v>0</v>
      </c>
      <c r="AI7" s="34">
        <v>3944.92</v>
      </c>
      <c r="AJ7" s="34">
        <v>2512.7600000000002</v>
      </c>
      <c r="AK7" s="34">
        <v>-916</v>
      </c>
      <c r="AL7" s="34">
        <v>-354.46</v>
      </c>
      <c r="AM7" s="35">
        <v>161.69999999999999</v>
      </c>
      <c r="AN7" s="35">
        <v>502.98</v>
      </c>
      <c r="AO7" s="35">
        <v>664.68</v>
      </c>
      <c r="AP7" s="29" t="s">
        <v>57</v>
      </c>
      <c r="AQ7" s="29"/>
    </row>
    <row r="8" spans="1:43" x14ac:dyDescent="0.25">
      <c r="A8" s="29" t="s">
        <v>138</v>
      </c>
      <c r="B8" s="29" t="s">
        <v>58</v>
      </c>
      <c r="C8" s="29" t="s">
        <v>59</v>
      </c>
      <c r="D8" s="29" t="s">
        <v>60</v>
      </c>
      <c r="E8" s="29">
        <v>7.6</v>
      </c>
      <c r="F8" s="29">
        <v>76</v>
      </c>
      <c r="G8" s="29">
        <v>10</v>
      </c>
      <c r="H8" s="29">
        <v>3.63</v>
      </c>
      <c r="I8" s="29">
        <v>0</v>
      </c>
      <c r="J8" s="29">
        <v>4.5199999999999996</v>
      </c>
      <c r="K8" s="29">
        <v>0</v>
      </c>
      <c r="L8" s="29">
        <v>0</v>
      </c>
      <c r="M8" s="29">
        <v>1.85</v>
      </c>
      <c r="N8" s="29">
        <v>4.5199999999999996</v>
      </c>
      <c r="O8" s="29">
        <v>10</v>
      </c>
      <c r="P8" s="29">
        <v>27.55</v>
      </c>
      <c r="Q8" s="29">
        <v>0</v>
      </c>
      <c r="R8" s="29">
        <v>34.369999999999997</v>
      </c>
      <c r="S8" s="29">
        <v>0</v>
      </c>
      <c r="T8" s="29">
        <v>14.08</v>
      </c>
      <c r="U8" s="30">
        <v>36.200000000000003</v>
      </c>
      <c r="V8" s="30">
        <v>36.299999999999997</v>
      </c>
      <c r="W8" s="31">
        <v>0</v>
      </c>
      <c r="X8" s="31">
        <v>45.2</v>
      </c>
      <c r="Y8" s="31">
        <v>0</v>
      </c>
      <c r="Z8" s="31">
        <v>18.5</v>
      </c>
      <c r="AA8" s="32">
        <v>1707.26</v>
      </c>
      <c r="AB8" s="33">
        <v>1800.25</v>
      </c>
      <c r="AC8" s="34">
        <v>0</v>
      </c>
      <c r="AD8" s="34">
        <v>1483.65</v>
      </c>
      <c r="AE8" s="34">
        <v>316.60000000000002</v>
      </c>
      <c r="AF8" s="34">
        <v>0</v>
      </c>
      <c r="AG8" s="34">
        <v>3507.51</v>
      </c>
      <c r="AH8" s="34">
        <v>0</v>
      </c>
      <c r="AI8" s="34">
        <v>3100.29</v>
      </c>
      <c r="AJ8" s="34">
        <v>2311.81</v>
      </c>
      <c r="AK8" s="34">
        <v>-528</v>
      </c>
      <c r="AL8" s="34">
        <v>-354.46</v>
      </c>
      <c r="AM8" s="35">
        <v>117.24</v>
      </c>
      <c r="AN8" s="35">
        <v>395.29</v>
      </c>
      <c r="AO8" s="35">
        <v>512.53</v>
      </c>
      <c r="AP8" s="29" t="s">
        <v>61</v>
      </c>
      <c r="AQ8" s="29"/>
    </row>
    <row r="9" spans="1:43" x14ac:dyDescent="0.25">
      <c r="A9" s="10" t="s">
        <v>62</v>
      </c>
      <c r="H9" s="10">
        <f t="shared" ref="H9:T9" si="0">SUM(H2:H8)</f>
        <v>20.5</v>
      </c>
      <c r="I9" s="10">
        <f t="shared" si="0"/>
        <v>1</v>
      </c>
      <c r="J9" s="10">
        <f t="shared" si="0"/>
        <v>15.26</v>
      </c>
      <c r="K9" s="10">
        <f t="shared" si="0"/>
        <v>12</v>
      </c>
      <c r="L9" s="10">
        <f t="shared" si="0"/>
        <v>0</v>
      </c>
      <c r="M9" s="10">
        <f t="shared" si="0"/>
        <v>2.02</v>
      </c>
      <c r="N9" s="10">
        <f t="shared" si="0"/>
        <v>28.259999999999998</v>
      </c>
      <c r="O9" s="10">
        <f t="shared" si="0"/>
        <v>50.78</v>
      </c>
      <c r="P9" s="10">
        <f t="shared" si="0"/>
        <v>155.75000000000003</v>
      </c>
      <c r="Q9" s="10">
        <f t="shared" si="0"/>
        <v>7.6</v>
      </c>
      <c r="R9" s="10">
        <f t="shared" si="0"/>
        <v>115.97999999999999</v>
      </c>
      <c r="S9" s="10">
        <f t="shared" si="0"/>
        <v>91.2</v>
      </c>
      <c r="T9" s="10">
        <f t="shared" si="0"/>
        <v>15.39</v>
      </c>
      <c r="U9" s="12">
        <f t="shared" ref="U9:Z9" si="1">AVERAGE(U2:U8)</f>
        <v>29.271428571428569</v>
      </c>
      <c r="V9" s="12">
        <f t="shared" si="1"/>
        <v>29.285714285714285</v>
      </c>
      <c r="W9" s="13">
        <f t="shared" si="1"/>
        <v>1.4285714285714286</v>
      </c>
      <c r="X9" s="13">
        <f t="shared" si="1"/>
        <v>21.8</v>
      </c>
      <c r="Y9" s="13">
        <f t="shared" si="1"/>
        <v>17.142857142857142</v>
      </c>
      <c r="Z9" s="13">
        <f t="shared" si="1"/>
        <v>2.8857142857142857</v>
      </c>
      <c r="AA9" s="36">
        <f t="shared" ref="AA9:AO9" si="2">SUM(AA2:AA8)</f>
        <v>8329.09</v>
      </c>
      <c r="AB9" s="36">
        <f t="shared" si="2"/>
        <v>11032.560000000001</v>
      </c>
      <c r="AC9" s="36">
        <f t="shared" si="2"/>
        <v>328.07</v>
      </c>
      <c r="AD9" s="36">
        <f t="shared" si="2"/>
        <v>5006.5499999999993</v>
      </c>
      <c r="AE9" s="36">
        <f t="shared" si="2"/>
        <v>5697.9400000000005</v>
      </c>
      <c r="AF9" s="36">
        <f t="shared" si="2"/>
        <v>0</v>
      </c>
      <c r="AG9" s="36">
        <f t="shared" si="2"/>
        <v>20313.480000000003</v>
      </c>
      <c r="AH9" s="36">
        <f t="shared" si="2"/>
        <v>29390.05</v>
      </c>
      <c r="AI9" s="36">
        <f t="shared" si="2"/>
        <v>49296.31</v>
      </c>
      <c r="AJ9" s="36">
        <f t="shared" si="2"/>
        <v>34432.17</v>
      </c>
      <c r="AK9" s="36">
        <f t="shared" si="2"/>
        <v>-10734</v>
      </c>
      <c r="AL9" s="36">
        <f t="shared" si="2"/>
        <v>-2481.2199999999998</v>
      </c>
      <c r="AM9" s="36">
        <f t="shared" si="2"/>
        <v>1897.1399999999999</v>
      </c>
      <c r="AN9" s="36">
        <f t="shared" si="2"/>
        <v>6042.71</v>
      </c>
      <c r="AO9" s="36">
        <f t="shared" si="2"/>
        <v>7939.85</v>
      </c>
    </row>
    <row r="10" spans="1:43" x14ac:dyDescent="0.25">
      <c r="A10" s="15" t="s">
        <v>139</v>
      </c>
      <c r="H10" s="16">
        <f t="shared" ref="H10:AO10" si="3">AVERAGE(H2:H8)</f>
        <v>2.9285714285714284</v>
      </c>
      <c r="I10" s="16">
        <f t="shared" si="3"/>
        <v>0.14285714285714285</v>
      </c>
      <c r="J10" s="16">
        <f t="shared" si="3"/>
        <v>2.1800000000000002</v>
      </c>
      <c r="K10" s="16">
        <f t="shared" si="3"/>
        <v>1.7142857142857142</v>
      </c>
      <c r="L10" s="16">
        <f t="shared" si="3"/>
        <v>0</v>
      </c>
      <c r="M10" s="16">
        <f t="shared" si="3"/>
        <v>0.28857142857142859</v>
      </c>
      <c r="N10" s="16">
        <f t="shared" si="3"/>
        <v>4.0371428571428565</v>
      </c>
      <c r="O10" s="16">
        <f t="shared" si="3"/>
        <v>7.2542857142857144</v>
      </c>
      <c r="P10" s="16">
        <f t="shared" si="3"/>
        <v>22.250000000000004</v>
      </c>
      <c r="Q10" s="16">
        <f t="shared" si="3"/>
        <v>1.0857142857142856</v>
      </c>
      <c r="R10" s="16">
        <f t="shared" si="3"/>
        <v>16.568571428571428</v>
      </c>
      <c r="S10" s="16">
        <f t="shared" si="3"/>
        <v>13.028571428571428</v>
      </c>
      <c r="T10" s="16">
        <f t="shared" si="3"/>
        <v>2.1985714285714288</v>
      </c>
      <c r="U10" s="17">
        <f t="shared" si="3"/>
        <v>29.271428571428569</v>
      </c>
      <c r="V10" s="17">
        <f t="shared" si="3"/>
        <v>29.285714285714285</v>
      </c>
      <c r="W10" s="18">
        <f t="shared" si="3"/>
        <v>1.4285714285714286</v>
      </c>
      <c r="X10" s="18">
        <f t="shared" si="3"/>
        <v>21.8</v>
      </c>
      <c r="Y10" s="18">
        <f t="shared" si="3"/>
        <v>17.142857142857142</v>
      </c>
      <c r="Z10" s="18">
        <f t="shared" si="3"/>
        <v>2.8857142857142857</v>
      </c>
      <c r="AA10" s="19">
        <f t="shared" si="3"/>
        <v>1189.8700000000001</v>
      </c>
      <c r="AB10" s="19">
        <f t="shared" si="3"/>
        <v>1576.0800000000002</v>
      </c>
      <c r="AC10" s="19">
        <f t="shared" si="3"/>
        <v>46.867142857142859</v>
      </c>
      <c r="AD10" s="19">
        <f t="shared" si="3"/>
        <v>715.22142857142842</v>
      </c>
      <c r="AE10" s="19">
        <f t="shared" si="3"/>
        <v>813.99142857142863</v>
      </c>
      <c r="AF10" s="19">
        <f t="shared" si="3"/>
        <v>0</v>
      </c>
      <c r="AG10" s="19">
        <f t="shared" si="3"/>
        <v>2901.9257142857145</v>
      </c>
      <c r="AH10" s="19">
        <f t="shared" si="3"/>
        <v>4198.5785714285712</v>
      </c>
      <c r="AI10" s="19">
        <f t="shared" si="3"/>
        <v>7042.33</v>
      </c>
      <c r="AJ10" s="19">
        <f t="shared" si="3"/>
        <v>4918.8814285714279</v>
      </c>
      <c r="AK10" s="19">
        <f t="shared" si="3"/>
        <v>-1533.4285714285713</v>
      </c>
      <c r="AL10" s="19">
        <f t="shared" si="3"/>
        <v>-354.46</v>
      </c>
      <c r="AM10" s="19">
        <f t="shared" si="3"/>
        <v>271.02</v>
      </c>
      <c r="AN10" s="19">
        <f t="shared" si="3"/>
        <v>863.24428571428575</v>
      </c>
      <c r="AO10" s="19">
        <f t="shared" si="3"/>
        <v>1134.2642857142857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2"/>
  <sheetViews>
    <sheetView topLeftCell="A16" workbookViewId="0"/>
  </sheetViews>
  <sheetFormatPr defaultRowHeight="15" x14ac:dyDescent="0.25"/>
  <sheetData>
    <row r="1" spans="1:6" x14ac:dyDescent="0.25">
      <c r="A1" s="37" t="s">
        <v>5</v>
      </c>
      <c r="B1" s="37" t="s">
        <v>140</v>
      </c>
      <c r="C1" s="37" t="s">
        <v>141</v>
      </c>
      <c r="D1" s="37" t="s">
        <v>142</v>
      </c>
      <c r="E1" s="37" t="s">
        <v>143</v>
      </c>
      <c r="F1" s="37" t="s">
        <v>76</v>
      </c>
    </row>
    <row r="2" spans="1:6" x14ac:dyDescent="0.25">
      <c r="A2" t="s">
        <v>32</v>
      </c>
      <c r="B2" t="s">
        <v>36</v>
      </c>
      <c r="C2" t="s">
        <v>144</v>
      </c>
      <c r="D2" t="s">
        <v>145</v>
      </c>
      <c r="E2">
        <v>7.6</v>
      </c>
      <c r="F2" s="38">
        <v>328.07</v>
      </c>
    </row>
    <row r="3" spans="1:6" x14ac:dyDescent="0.25">
      <c r="A3" t="s">
        <v>32</v>
      </c>
      <c r="B3" t="s">
        <v>36</v>
      </c>
      <c r="C3" t="s">
        <v>146</v>
      </c>
      <c r="D3" t="s">
        <v>147</v>
      </c>
      <c r="E3">
        <v>68.400000000000006</v>
      </c>
      <c r="F3" s="38">
        <v>2952.63</v>
      </c>
    </row>
    <row r="4" spans="1:6" x14ac:dyDescent="0.25">
      <c r="A4" t="s">
        <v>32</v>
      </c>
      <c r="B4" t="s">
        <v>36</v>
      </c>
      <c r="C4" t="s">
        <v>148</v>
      </c>
      <c r="D4" t="s">
        <v>149</v>
      </c>
      <c r="F4" s="38">
        <v>712.35</v>
      </c>
    </row>
    <row r="5" spans="1:6" x14ac:dyDescent="0.25">
      <c r="A5" t="s">
        <v>37</v>
      </c>
      <c r="B5" t="s">
        <v>41</v>
      </c>
      <c r="C5" t="s">
        <v>150</v>
      </c>
      <c r="D5" t="s">
        <v>147</v>
      </c>
      <c r="E5">
        <v>7.6</v>
      </c>
      <c r="F5" s="38">
        <v>328.07</v>
      </c>
    </row>
    <row r="6" spans="1:6" x14ac:dyDescent="0.25">
      <c r="A6" t="s">
        <v>37</v>
      </c>
      <c r="B6" t="s">
        <v>41</v>
      </c>
      <c r="C6" t="s">
        <v>151</v>
      </c>
      <c r="D6" t="s">
        <v>152</v>
      </c>
      <c r="E6">
        <v>47.4</v>
      </c>
      <c r="F6" s="38">
        <v>2046.14</v>
      </c>
    </row>
    <row r="7" spans="1:6" x14ac:dyDescent="0.25">
      <c r="A7" t="s">
        <v>37</v>
      </c>
      <c r="B7" t="s">
        <v>41</v>
      </c>
      <c r="C7" t="s">
        <v>153</v>
      </c>
      <c r="D7" t="s">
        <v>149</v>
      </c>
      <c r="F7" s="38">
        <v>573.85</v>
      </c>
    </row>
    <row r="8" spans="1:6" x14ac:dyDescent="0.25">
      <c r="A8" t="s">
        <v>37</v>
      </c>
      <c r="B8" t="s">
        <v>41</v>
      </c>
      <c r="C8" t="s">
        <v>154</v>
      </c>
      <c r="D8" t="s">
        <v>152</v>
      </c>
      <c r="E8">
        <v>23.52</v>
      </c>
      <c r="F8" s="38">
        <v>1015.3</v>
      </c>
    </row>
    <row r="9" spans="1:6" x14ac:dyDescent="0.25">
      <c r="A9" t="s">
        <v>37</v>
      </c>
      <c r="B9" t="s">
        <v>41</v>
      </c>
      <c r="C9" t="s">
        <v>155</v>
      </c>
      <c r="D9" t="s">
        <v>156</v>
      </c>
      <c r="E9">
        <v>0.23</v>
      </c>
      <c r="F9" s="38">
        <v>0</v>
      </c>
    </row>
    <row r="10" spans="1:6" x14ac:dyDescent="0.25">
      <c r="A10" t="s">
        <v>42</v>
      </c>
      <c r="B10" t="s">
        <v>45</v>
      </c>
      <c r="C10" t="s">
        <v>157</v>
      </c>
      <c r="D10" t="s">
        <v>145</v>
      </c>
      <c r="E10">
        <v>29.4</v>
      </c>
      <c r="F10" s="38">
        <v>1269.1099999999999</v>
      </c>
    </row>
    <row r="11" spans="1:6" x14ac:dyDescent="0.25">
      <c r="A11" t="s">
        <v>42</v>
      </c>
      <c r="B11" t="s">
        <v>45</v>
      </c>
      <c r="C11" t="s">
        <v>158</v>
      </c>
      <c r="D11" t="s">
        <v>152</v>
      </c>
      <c r="E11">
        <v>4.17</v>
      </c>
      <c r="F11" s="38">
        <v>180.01</v>
      </c>
    </row>
    <row r="12" spans="1:6" x14ac:dyDescent="0.25">
      <c r="A12" t="s">
        <v>46</v>
      </c>
      <c r="B12" t="s">
        <v>49</v>
      </c>
      <c r="C12" t="s">
        <v>159</v>
      </c>
      <c r="D12" t="s">
        <v>145</v>
      </c>
      <c r="E12">
        <v>30.4</v>
      </c>
      <c r="F12" s="38">
        <v>1312.28</v>
      </c>
    </row>
    <row r="13" spans="1:6" x14ac:dyDescent="0.25">
      <c r="A13" t="s">
        <v>46</v>
      </c>
      <c r="B13" t="s">
        <v>49</v>
      </c>
      <c r="C13" t="s">
        <v>160</v>
      </c>
      <c r="D13" t="s">
        <v>161</v>
      </c>
      <c r="E13">
        <v>24</v>
      </c>
      <c r="F13" s="38">
        <v>155.4</v>
      </c>
    </row>
    <row r="14" spans="1:6" x14ac:dyDescent="0.25">
      <c r="A14" t="s">
        <v>50</v>
      </c>
      <c r="B14" t="s">
        <v>53</v>
      </c>
      <c r="C14" t="s">
        <v>162</v>
      </c>
      <c r="D14" t="s">
        <v>145</v>
      </c>
      <c r="E14">
        <v>15.2</v>
      </c>
      <c r="F14" s="38">
        <v>656.14</v>
      </c>
    </row>
    <row r="15" spans="1:6" x14ac:dyDescent="0.25">
      <c r="A15" t="s">
        <v>50</v>
      </c>
      <c r="B15" t="s">
        <v>53</v>
      </c>
      <c r="C15" t="s">
        <v>163</v>
      </c>
      <c r="D15" t="s">
        <v>161</v>
      </c>
      <c r="E15">
        <v>8</v>
      </c>
      <c r="F15" s="38">
        <v>51.8</v>
      </c>
    </row>
    <row r="16" spans="1:6" x14ac:dyDescent="0.25">
      <c r="A16" t="s">
        <v>50</v>
      </c>
      <c r="B16" t="s">
        <v>53</v>
      </c>
      <c r="C16" t="s">
        <v>164</v>
      </c>
      <c r="D16" t="s">
        <v>161</v>
      </c>
      <c r="E16">
        <v>7.6</v>
      </c>
      <c r="F16" s="38">
        <v>328.07</v>
      </c>
    </row>
    <row r="17" spans="1:6" x14ac:dyDescent="0.25">
      <c r="A17" t="s">
        <v>54</v>
      </c>
      <c r="B17" t="s">
        <v>57</v>
      </c>
      <c r="C17" t="s">
        <v>165</v>
      </c>
      <c r="D17" t="s">
        <v>145</v>
      </c>
      <c r="E17">
        <v>45.6</v>
      </c>
      <c r="F17" s="38">
        <v>1968.42</v>
      </c>
    </row>
    <row r="18" spans="1:6" x14ac:dyDescent="0.25">
      <c r="A18" t="s">
        <v>54</v>
      </c>
      <c r="B18" t="s">
        <v>57</v>
      </c>
      <c r="C18" t="s">
        <v>163</v>
      </c>
      <c r="D18" t="s">
        <v>161</v>
      </c>
      <c r="E18">
        <v>8</v>
      </c>
      <c r="F18" s="38">
        <v>51.8</v>
      </c>
    </row>
    <row r="19" spans="1:6" x14ac:dyDescent="0.25">
      <c r="A19" t="s">
        <v>54</v>
      </c>
      <c r="B19" t="s">
        <v>57</v>
      </c>
      <c r="C19" t="s">
        <v>166</v>
      </c>
      <c r="D19" t="s">
        <v>161</v>
      </c>
      <c r="E19">
        <v>24</v>
      </c>
      <c r="F19" s="38">
        <v>155.4</v>
      </c>
    </row>
    <row r="20" spans="1:6" x14ac:dyDescent="0.25">
      <c r="A20" t="s">
        <v>54</v>
      </c>
      <c r="B20" t="s">
        <v>57</v>
      </c>
      <c r="C20" t="s">
        <v>167</v>
      </c>
      <c r="D20" t="s">
        <v>161</v>
      </c>
      <c r="E20">
        <v>8</v>
      </c>
      <c r="F20" s="38">
        <v>345.34</v>
      </c>
    </row>
    <row r="21" spans="1:6" x14ac:dyDescent="0.25">
      <c r="A21" t="s">
        <v>54</v>
      </c>
      <c r="B21" t="s">
        <v>57</v>
      </c>
      <c r="C21" t="s">
        <v>168</v>
      </c>
      <c r="D21" t="s">
        <v>147</v>
      </c>
      <c r="E21">
        <v>15.2</v>
      </c>
      <c r="F21" s="38">
        <v>656.14</v>
      </c>
    </row>
    <row r="22" spans="1:6" x14ac:dyDescent="0.25">
      <c r="A22" t="s">
        <v>54</v>
      </c>
      <c r="B22" t="s">
        <v>57</v>
      </c>
      <c r="C22" t="s">
        <v>169</v>
      </c>
      <c r="D22" t="s">
        <v>149</v>
      </c>
      <c r="F22" s="38">
        <v>158.30000000000001</v>
      </c>
    </row>
    <row r="23" spans="1:6" x14ac:dyDescent="0.25">
      <c r="A23" t="s">
        <v>54</v>
      </c>
      <c r="B23" t="s">
        <v>57</v>
      </c>
      <c r="C23" t="s">
        <v>170</v>
      </c>
      <c r="D23" t="s">
        <v>152</v>
      </c>
      <c r="E23">
        <v>6.52</v>
      </c>
      <c r="F23" s="38">
        <v>281.45</v>
      </c>
    </row>
    <row r="24" spans="1:6" x14ac:dyDescent="0.25">
      <c r="A24" t="s">
        <v>54</v>
      </c>
      <c r="B24" t="s">
        <v>57</v>
      </c>
      <c r="C24" t="s">
        <v>171</v>
      </c>
      <c r="D24" t="s">
        <v>156</v>
      </c>
      <c r="E24">
        <v>1.08</v>
      </c>
      <c r="F24" s="38">
        <v>0</v>
      </c>
    </row>
    <row r="25" spans="1:6" x14ac:dyDescent="0.25">
      <c r="A25" t="s">
        <v>54</v>
      </c>
      <c r="B25" t="s">
        <v>57</v>
      </c>
      <c r="C25" t="s">
        <v>172</v>
      </c>
      <c r="D25" t="s">
        <v>173</v>
      </c>
      <c r="E25">
        <v>7.6</v>
      </c>
      <c r="F25" s="38">
        <v>328.07</v>
      </c>
    </row>
    <row r="26" spans="1:6" x14ac:dyDescent="0.25">
      <c r="A26" t="s">
        <v>58</v>
      </c>
      <c r="B26" t="s">
        <v>61</v>
      </c>
      <c r="C26" t="s">
        <v>174</v>
      </c>
      <c r="D26" t="s">
        <v>145</v>
      </c>
      <c r="E26">
        <v>27.55</v>
      </c>
      <c r="F26" s="38">
        <v>1189.25</v>
      </c>
    </row>
    <row r="27" spans="1:6" x14ac:dyDescent="0.25">
      <c r="A27" t="s">
        <v>58</v>
      </c>
      <c r="B27" t="s">
        <v>61</v>
      </c>
      <c r="C27" t="s">
        <v>175</v>
      </c>
      <c r="D27" t="s">
        <v>161</v>
      </c>
      <c r="E27">
        <v>8</v>
      </c>
      <c r="F27" s="38">
        <v>172.67</v>
      </c>
    </row>
    <row r="28" spans="1:6" x14ac:dyDescent="0.25">
      <c r="A28" t="s">
        <v>58</v>
      </c>
      <c r="B28" t="s">
        <v>61</v>
      </c>
      <c r="C28" t="s">
        <v>167</v>
      </c>
      <c r="D28" t="s">
        <v>161</v>
      </c>
      <c r="E28">
        <v>8</v>
      </c>
      <c r="F28" s="38">
        <v>345.34</v>
      </c>
    </row>
    <row r="29" spans="1:6" x14ac:dyDescent="0.25">
      <c r="A29" t="s">
        <v>58</v>
      </c>
      <c r="B29" t="s">
        <v>61</v>
      </c>
      <c r="C29" t="s">
        <v>176</v>
      </c>
      <c r="D29" t="s">
        <v>152</v>
      </c>
      <c r="E29">
        <v>30.4</v>
      </c>
      <c r="F29" s="38">
        <v>1312.28</v>
      </c>
    </row>
    <row r="30" spans="1:6" x14ac:dyDescent="0.25">
      <c r="A30" t="s">
        <v>58</v>
      </c>
      <c r="B30" t="s">
        <v>61</v>
      </c>
      <c r="C30" t="s">
        <v>177</v>
      </c>
      <c r="D30" t="s">
        <v>149</v>
      </c>
      <c r="F30" s="38">
        <v>316.60000000000002</v>
      </c>
    </row>
    <row r="31" spans="1:6" x14ac:dyDescent="0.25">
      <c r="A31" t="s">
        <v>58</v>
      </c>
      <c r="B31" t="s">
        <v>61</v>
      </c>
      <c r="C31" t="s">
        <v>178</v>
      </c>
      <c r="D31" t="s">
        <v>152</v>
      </c>
      <c r="E31">
        <v>3.97</v>
      </c>
      <c r="F31" s="38">
        <v>171.37</v>
      </c>
    </row>
    <row r="32" spans="1:6" x14ac:dyDescent="0.25">
      <c r="A32" t="s">
        <v>58</v>
      </c>
      <c r="B32" t="s">
        <v>61</v>
      </c>
      <c r="C32" t="s">
        <v>179</v>
      </c>
      <c r="D32" t="s">
        <v>156</v>
      </c>
      <c r="E32">
        <v>14.08</v>
      </c>
      <c r="F32" s="38">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of full-time role</vt:lpstr>
      <vt:lpstr>Unfair dismissal payment</vt:lpstr>
      <vt:lpstr>Fortnight detail + %</vt:lpstr>
      <vt:lpstr>Line 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Cory Shepherd</cp:lastModifiedBy>
  <dcterms:created xsi:type="dcterms:W3CDTF">2026-07-24T07:08:38Z</dcterms:created>
  <dcterms:modified xsi:type="dcterms:W3CDTF">2026-07-24T07:11:10Z</dcterms:modified>
</cp:coreProperties>
</file>