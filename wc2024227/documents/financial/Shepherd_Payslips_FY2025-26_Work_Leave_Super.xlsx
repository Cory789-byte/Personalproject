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orys\Downloads\PAYSLIPS_FY2025-26\"/>
    </mc:Choice>
  </mc:AlternateContent>
  <xr:revisionPtr revIDLastSave="0" documentId="13_ncr:1_{497754AE-BC4B-4EFD-85B2-8EDFB7A016C8}" xr6:coauthVersionLast="47" xr6:coauthVersionMax="47" xr10:uidLastSave="{00000000-0000-0000-0000-000000000000}"/>
  <bookViews>
    <workbookView xWindow="5580" yWindow="3195" windowWidth="21600" windowHeight="11295" xr2:uid="{00000000-000D-0000-FFFF-FFFF00000000}"/>
  </bookViews>
  <sheets>
    <sheet name="FY summary &amp; averages" sheetId="1" r:id="rId1"/>
    <sheet name="Fortnight detail" sheetId="2" r:id="rId2"/>
    <sheet name="Line audit" sheetId="3" r:id="rId3"/>
  </sheets>
  <definedNames>
    <definedName name="_xlnm._FilterDatabase" localSheetId="1" hidden="1">'Fortnight detail'!$A$1:$AH$1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9" i="2" l="1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</calcChain>
</file>

<file path=xl/sharedStrings.xml><?xml version="1.0" encoding="utf-8"?>
<sst xmlns="http://schemas.openxmlformats.org/spreadsheetml/2006/main" count="854" uniqueCount="308">
  <si>
    <t>Cory Shepherd — QLD Health payslips FY2025–26 (1 Jul 2025 – 30 Jun 2026)</t>
  </si>
  <si>
    <t>Employee PAN 00388372 · Person ID 388372 · AO3 · 26 fortnights</t>
  </si>
  <si>
    <t>Source folder: C:\Users\corys\Downloads\PAYSLIPS_FY2025-26</t>
  </si>
  <si>
    <t>Days = category hours ÷ day length on that slip (usually 7.60 or 8.00). Work days use Fortnightly Salary hours only (shift loadings are extra pay, not extra days). Leave pay includes RDO, sick, annual/rec, leave loading, other paid leave. Employer super is QSuper Accum employer contribution; voluntary super is employee SS deduction.</t>
  </si>
  <si>
    <t>Metric</t>
  </si>
  <si>
    <t>Value</t>
  </si>
  <si>
    <t>Unit</t>
  </si>
  <si>
    <t>Fortnights</t>
  </si>
  <si>
    <t>Total work days</t>
  </si>
  <si>
    <t>days</t>
  </si>
  <si>
    <t>Total RDO days</t>
  </si>
  <si>
    <t>Total sick leave days</t>
  </si>
  <si>
    <t>Total annual/rec leave days</t>
  </si>
  <si>
    <t>Total unpaid leave days</t>
  </si>
  <si>
    <t>Avg work days / fortnight</t>
  </si>
  <si>
    <t>Avg RDO days / fortnight</t>
  </si>
  <si>
    <t>Avg sick days / fortnight</t>
  </si>
  <si>
    <t>Avg leave days (all paid leave) / fortnight</t>
  </si>
  <si>
    <t>Total pay from worked hours</t>
  </si>
  <si>
    <t>$</t>
  </si>
  <si>
    <t>Total pay from leave</t>
  </si>
  <si>
    <t>Avg work pay / fortnight</t>
  </si>
  <si>
    <t>Avg leave pay / fortnight</t>
  </si>
  <si>
    <t>Total fortnight gross (sum of slip 'current fortnight')</t>
  </si>
  <si>
    <t>Total gross (incl. adjustments)</t>
  </si>
  <si>
    <t>Avg total gross / fortnight</t>
  </si>
  <si>
    <t>Total net income</t>
  </si>
  <si>
    <t>Avg net / fortnight</t>
  </si>
  <si>
    <t>Total employer super</t>
  </si>
  <si>
    <t>Avg employer super / fortnight</t>
  </si>
  <si>
    <t>Total employee voluntary super</t>
  </si>
  <si>
    <t>Avg voluntary super / fortnight</t>
  </si>
  <si>
    <t>Total super (employer + voluntary)</t>
  </si>
  <si>
    <t>Avg total super / fortnight</t>
  </si>
  <si>
    <t>Total RemServ pre-tax packaged</t>
  </si>
  <si>
    <t>Method notes</t>
  </si>
  <si>
    <t>1. Standard day length is taken from that payslip (7.60 early FY, often 8.00 later).
2. Work days = Fortnightly Salary hours ÷ day length. Weekend/shift penalty lines add to work pay only.
3. RDO / sick / annual days = hours on those lines ÷ day length.
4. Leave loading (22.92%) is included in leave pay but not in leave days.
5. NP Sick / NP Special = unpaid leave days (no pay).
6. Adjustments (back-pay / overpayments) sit in separate columns; work/leave split is from current-fortnight lines only.
7. Figures are extracted from PDF text — verify against myHR if a slip looks off.
8. Not financial, tax, or industrial advice.</t>
  </si>
  <si>
    <t>Pay date</t>
  </si>
  <si>
    <t>Fortnight start</t>
  </si>
  <si>
    <t>Fortnight end</t>
  </si>
  <si>
    <t>Day length (hrs)</t>
  </si>
  <si>
    <t>Work days (salary hrs ÷ day)</t>
  </si>
  <si>
    <t>RDO days</t>
  </si>
  <si>
    <t>Sick leave days</t>
  </si>
  <si>
    <t>Annual / rec leave days</t>
  </si>
  <si>
    <t>Other paid leave days</t>
  </si>
  <si>
    <t>Unpaid leave days</t>
  </si>
  <si>
    <t>Total paid leave days</t>
  </si>
  <si>
    <t>Total days accounted</t>
  </si>
  <si>
    <t>Work hours (salary)</t>
  </si>
  <si>
    <t>RDO hours</t>
  </si>
  <si>
    <t>Sick hours</t>
  </si>
  <si>
    <t>Annual leave hours</t>
  </si>
  <si>
    <t>Unpaid hours</t>
  </si>
  <si>
    <t>Pay from worked hours $</t>
  </si>
  <si>
    <t>Pay from leave (RDO+sick+annual+other) $</t>
  </si>
  <si>
    <t xml:space="preserve">  · RDO pay $</t>
  </si>
  <si>
    <t xml:space="preserve">  · Sick pay $</t>
  </si>
  <si>
    <t xml:space="preserve">  · Annual/rec + leave loading $</t>
  </si>
  <si>
    <t xml:space="preserve">  · Other leave pay $</t>
  </si>
  <si>
    <t>Current fortnight gross $</t>
  </si>
  <si>
    <t>Adjustments (prior periods) $</t>
  </si>
  <si>
    <t>Total gross $</t>
  </si>
  <si>
    <t>Net income $</t>
  </si>
  <si>
    <t>Income tax $</t>
  </si>
  <si>
    <t>RemServ pre-tax $</t>
  </si>
  <si>
    <t>Employee voluntary super $</t>
  </si>
  <si>
    <t>Employer super contribution $</t>
  </si>
  <si>
    <t>Total super (emp + vol) $</t>
  </si>
  <si>
    <t>Source file</t>
  </si>
  <si>
    <t>Notes</t>
  </si>
  <si>
    <t>02/07/2025</t>
  </si>
  <si>
    <t>09/06/2025</t>
  </si>
  <si>
    <t>22/06/2025</t>
  </si>
  <si>
    <t>Payslips-00388372-20250702.pdf</t>
  </si>
  <si>
    <t>16/07/2025</t>
  </si>
  <si>
    <t>23/06/2025</t>
  </si>
  <si>
    <t>06/07/2025</t>
  </si>
  <si>
    <t>Payslips-00388372-20250716.pdf</t>
  </si>
  <si>
    <t>30/07/2025</t>
  </si>
  <si>
    <t>07/07/2025</t>
  </si>
  <si>
    <t>20/07/2025</t>
  </si>
  <si>
    <t>Payslips-00388372-20250730.pdf</t>
  </si>
  <si>
    <t>13/08/2025</t>
  </si>
  <si>
    <t>21/07/2025</t>
  </si>
  <si>
    <t>03/08/2025</t>
  </si>
  <si>
    <t>Payslips-00388372-20250813.pdf</t>
  </si>
  <si>
    <t>27/08/2025</t>
  </si>
  <si>
    <t>04/08/2025</t>
  </si>
  <si>
    <t>17/08/2025</t>
  </si>
  <si>
    <t>Payslips-00388372-20250827.pdf</t>
  </si>
  <si>
    <t>10/09/2025</t>
  </si>
  <si>
    <t>18/08/2025</t>
  </si>
  <si>
    <t>31/08/2025</t>
  </si>
  <si>
    <t>Payslips-00388372-20250910.pdf</t>
  </si>
  <si>
    <t>24/09/2025</t>
  </si>
  <si>
    <t>01/09/2025</t>
  </si>
  <si>
    <t>14/09/2025</t>
  </si>
  <si>
    <t>Payslips-00388372-20250924.pdf</t>
  </si>
  <si>
    <t>08/10/2025</t>
  </si>
  <si>
    <t>15/09/2025</t>
  </si>
  <si>
    <t>28/09/2025</t>
  </si>
  <si>
    <t>Payslips-00388372-20251008.pdf</t>
  </si>
  <si>
    <t>22/10/2025</t>
  </si>
  <si>
    <t>29/09/2025</t>
  </si>
  <si>
    <t>12/10/2025</t>
  </si>
  <si>
    <t>Payslips-00388372-20251022.pdf</t>
  </si>
  <si>
    <t>05/11/2025</t>
  </si>
  <si>
    <t>13/10/2025</t>
  </si>
  <si>
    <t>26/10/2025</t>
  </si>
  <si>
    <t>Payslips-00388372-20251105.pdf</t>
  </si>
  <si>
    <t>19/11/2025</t>
  </si>
  <si>
    <t>27/10/2025</t>
  </si>
  <si>
    <t>09/11/2025</t>
  </si>
  <si>
    <t>Payslips-00388372-20251119.pdf</t>
  </si>
  <si>
    <t>03/12/2025</t>
  </si>
  <si>
    <t>10/11/2025</t>
  </si>
  <si>
    <t>23/11/2025</t>
  </si>
  <si>
    <t>Payslips-00388372-20251203.pdf</t>
  </si>
  <si>
    <t>17/12/2025</t>
  </si>
  <si>
    <t>24/11/2025</t>
  </si>
  <si>
    <t>07/12/2025</t>
  </si>
  <si>
    <t>Payslips-00388372-20251217.pdf</t>
  </si>
  <si>
    <t>31/12/2025</t>
  </si>
  <si>
    <t>08/12/2025</t>
  </si>
  <si>
    <t>21/12/2025</t>
  </si>
  <si>
    <t>Payslips-00388372-20251231.pdf</t>
  </si>
  <si>
    <t>14/01/2026</t>
  </si>
  <si>
    <t>22/12/2025</t>
  </si>
  <si>
    <t>04/01/2026</t>
  </si>
  <si>
    <t>Payslips-00388372-20260114.pdf</t>
  </si>
  <si>
    <t>28/01/2026</t>
  </si>
  <si>
    <t>05/01/2026</t>
  </si>
  <si>
    <t>18/01/2026</t>
  </si>
  <si>
    <t>Payslips-00388372-20260128.pdf</t>
  </si>
  <si>
    <t>11/02/2026</t>
  </si>
  <si>
    <t>19/01/2026</t>
  </si>
  <si>
    <t>01/02/2026</t>
  </si>
  <si>
    <t>Payslips-00388372-20260211.pdf</t>
  </si>
  <si>
    <t>25/02/2026</t>
  </si>
  <si>
    <t>02/02/2026</t>
  </si>
  <si>
    <t>15/02/2026</t>
  </si>
  <si>
    <t>Payslips-00388372-20260225.pdf</t>
  </si>
  <si>
    <t>11/03/2026</t>
  </si>
  <si>
    <t>16/02/2026</t>
  </si>
  <si>
    <t>01/03/2026</t>
  </si>
  <si>
    <t>Payslips-00388372-20260311.pdf</t>
  </si>
  <si>
    <t>25/03/2026</t>
  </si>
  <si>
    <t>02/03/2026</t>
  </si>
  <si>
    <t>15/03/2026</t>
  </si>
  <si>
    <t>Payslips-00388372-20260325.pdf</t>
  </si>
  <si>
    <t>08/04/2026</t>
  </si>
  <si>
    <t>16/03/2026</t>
  </si>
  <si>
    <t>29/03/2026</t>
  </si>
  <si>
    <t>Payslips-00388372-20260408.pdf</t>
  </si>
  <si>
    <t>22/04/2026</t>
  </si>
  <si>
    <t>30/03/2026</t>
  </si>
  <si>
    <t>12/04/2026</t>
  </si>
  <si>
    <t>Payslips-00388372-20260422.pdf</t>
  </si>
  <si>
    <t>06/05/2026</t>
  </si>
  <si>
    <t>13/04/2026</t>
  </si>
  <si>
    <t>26/04/2026</t>
  </si>
  <si>
    <t>Payslips-00388372-20260506.pdf</t>
  </si>
  <si>
    <t>20/05/2026</t>
  </si>
  <si>
    <t>27/04/2026</t>
  </si>
  <si>
    <t>10/05/2026</t>
  </si>
  <si>
    <t>Payslips-00388372-20260520.pdf</t>
  </si>
  <si>
    <t>03/06/2026</t>
  </si>
  <si>
    <t>11/05/2026</t>
  </si>
  <si>
    <t>24/05/2026</t>
  </si>
  <si>
    <t>Payslips-00388372-20260603.pdf</t>
  </si>
  <si>
    <t>17/06/2026</t>
  </si>
  <si>
    <t>25/05/2026</t>
  </si>
  <si>
    <t>07/06/2026</t>
  </si>
  <si>
    <t>Payslips-00388372-20260617.pdf</t>
  </si>
  <si>
    <t>TOTALS</t>
  </si>
  <si>
    <t>AVERAGES (per fortnight)</t>
  </si>
  <si>
    <t>File</t>
  </si>
  <si>
    <t>Label</t>
  </si>
  <si>
    <t>Category</t>
  </si>
  <si>
    <t>Units/hrs</t>
  </si>
  <si>
    <t>Amount</t>
  </si>
  <si>
    <t>Fortnightly Salary 7.60 7.60 7.60 7.60 7.60 7.60 7.60 7.60 5.17 65.97 43.1671 2</t>
  </si>
  <si>
    <t>salary</t>
  </si>
  <si>
    <t>Shift - Afternoon 15% 8.00 8.00 16.00 6.4751 103.60</t>
  </si>
  <si>
    <t>work_penalty</t>
  </si>
  <si>
    <t>Shift - Night 15% 8.00 8.00 16.00 6.4751 103.60</t>
  </si>
  <si>
    <t>Shift - Sat Loading - 50% 8.00 8.00 16.00 21.5836 345.34</t>
  </si>
  <si>
    <t>Shift-Sunday Loading-100% 8.00 5.42 13.42 43.1671 579.31</t>
  </si>
  <si>
    <t>Sick Leave 2.43 2.43 43.1671 104.90</t>
  </si>
  <si>
    <t>sick</t>
  </si>
  <si>
    <t>RDO Taken 7.60 7.60 43.1671 328.07</t>
  </si>
  <si>
    <t>rdo</t>
  </si>
  <si>
    <t>Fortnightly Salary 7.60 7.60 7.60 5.70 7.35 7.60 43.45 43.1671 1</t>
  </si>
  <si>
    <t>Shift - Afternoon 15% 8.00 8.00 7.75 23.75 6.4751 153.78</t>
  </si>
  <si>
    <t>Shift-Sunday Loading-100% 8.00 8.00 43.1671 345.34</t>
  </si>
  <si>
    <t>Rec Leave 0.25 0.25 43.1671 10.79</t>
  </si>
  <si>
    <t>annual</t>
  </si>
  <si>
    <t>SickLve Cert-Debit Rec 7.60 7.60 15.20 43.1671 656.14</t>
  </si>
  <si>
    <t>Lve Loading 22.92% 8.00 8.00 0.25 16.25 9.8939 160.77</t>
  </si>
  <si>
    <t>leave_loading</t>
  </si>
  <si>
    <t>Sick Leave 1.90 1.77 3.67 43.1671 158.43</t>
  </si>
  <si>
    <t>NP Sick Leave 5.83 7.60 13.43</t>
  </si>
  <si>
    <t>unpaid</t>
  </si>
  <si>
    <t>Fortnightly Salary 6.15 6.65 7.35 7.60 7.35 7.35 42.45 43.1671 1</t>
  </si>
  <si>
    <t>Shift - Afternoon 15% 7.75 8.00 7.75 23.50 6.4751 152.16</t>
  </si>
  <si>
    <t>Shift-Sunday Loading-100% 7.75 7.75 43.1671 334.55</t>
  </si>
  <si>
    <t>Rec Leave 7.60 7.60 43.1671 328.07</t>
  </si>
  <si>
    <t>HP Rec Leave 1.40 0.95 0.25 2.60 21.5836 56.12</t>
  </si>
  <si>
    <t>Lve Loading 22.92% 8.00 8.00 9.8939 79.15</t>
  </si>
  <si>
    <t>Lve Loading 22.92% HP 1.50 1.00 0.25 2.75 4.9469 13.61</t>
  </si>
  <si>
    <t>NP Sick Leave 7.60 7.60 0.25 7.60 0.25 23.30</t>
  </si>
  <si>
    <t>Fortnightly Salary 7.60 7.60 7.60 7.60 3.30 7.60 7.60 48.90 43.1671 2</t>
  </si>
  <si>
    <t>Shift-Sunday Loading-100% 8.00 8.00 16.00 43.1671 690.68</t>
  </si>
  <si>
    <t>Sick Leave 4.25 4.25 43.1671 183.46</t>
  </si>
  <si>
    <t>NP Sick Leave 7.60 7.60 15.20</t>
  </si>
  <si>
    <t>Fortnightly Salary 7.10 7.60 7.60 6.65 28.95 43.1671 1</t>
  </si>
  <si>
    <t>Public Holiday - 50% 8.00 8.00 21.5836 172.67</t>
  </si>
  <si>
    <t>Shift - Afternoon 15% 7.50 7.50 6.4751 48.56</t>
  </si>
  <si>
    <t>Shift - Sat Loading - 50% 8.00 8.00 21.5836 172.67</t>
  </si>
  <si>
    <t>Shift-Sunday Loading-100% 7.00 7.00 43.1671 302.17</t>
  </si>
  <si>
    <t>NP Sick Leave 7.60 7.60 7.60 0.45 7.60 7.60 7.60 0.95 47.00</t>
  </si>
  <si>
    <t>Fortnightly Salary 7.60 4.75 7.10 7.60 7.60 34.65 43.1671 1</t>
  </si>
  <si>
    <t>NP Sick Leave 7.60 7.60 7.60 7.60 2.85 0.45 33.70</t>
  </si>
  <si>
    <t>Fortnightly Salary 7.60 7.60 15.20 43.1671 656.14</t>
  </si>
  <si>
    <t>SickLve Cert-Debit Rec 7.60 7.60 7.60 7.60 30.40 43.1671 1</t>
  </si>
  <si>
    <t>Lve Loading 22.92% 8.00 8.00 8.00 8.00 32.00 9.8939 316.60</t>
  </si>
  <si>
    <t>Sick Leave 6.30 0.22 6.52 43.1671 281.45</t>
  </si>
  <si>
    <t>NP Sick Leave 1.30 7.38 7.60 7.60 23.88</t>
  </si>
  <si>
    <t>Fortnightly Salary 7.60 7.60 7.60 7.60 7.60 7.60 7.60 7.60 7.60 68.40 43.1671 2</t>
  </si>
  <si>
    <t>Fortnightly Salary 7.60 7.35 7.60 7.60 7.60 7.60 7.60 52.95 43.9605 2</t>
  </si>
  <si>
    <t>Shift - Afternoon 15% 8.00 8.00 6.5941 52.75</t>
  </si>
  <si>
    <t>Shift - Night 15% 8.00 8.00 16.00 6.5941 105.50</t>
  </si>
  <si>
    <t>Shift - Sat Loading - 50% 8.00 8.00 21.9803 175.84</t>
  </si>
  <si>
    <t>Shift-Sunday Loading-100% 8.00 8.00 43.9605 351.68</t>
  </si>
  <si>
    <t>SickLve Cert-Debit Rec 7.60 7.60 15.20 43.9605 668.20</t>
  </si>
  <si>
    <t>Lve Loading 22.92% 8.00 8.00 16.00 10.0757 161.22</t>
  </si>
  <si>
    <t>Sick Leave 0.25 0.25 43.9605 10.99</t>
  </si>
  <si>
    <t>RDO Taken 7.60 7.60 43.9605 334.10</t>
  </si>
  <si>
    <t>Fortnightly Salary 7.60 7.60 7.60 7.60 7.60 7.35 45.35 43.9605 1</t>
  </si>
  <si>
    <t>Shift-Sunday Loading-100% 7.75 7.75 43.9605 340.69</t>
  </si>
  <si>
    <t>NP Sick Leave 7.60 7.60 7.60 7.60 30.40</t>
  </si>
  <si>
    <t>Fortnightly Salary 7.60 6.15 7.60 7.60 7.60 7.60 7.60 7.60 7.60 66.95 43.9605 2</t>
  </si>
  <si>
    <t>Shift - Afternoon 15% 8.00 8.00 16.00 6.5941 105.50</t>
  </si>
  <si>
    <t>Shift - Night 15% 8.00 6.50 8.00 22.50 6.5941 148.36</t>
  </si>
  <si>
    <t>Sick Leave 1.40 1.40 43.9605 61.54</t>
  </si>
  <si>
    <t>Fortnightly Salary 7.27 7.60 7.60 7.60 7.60 6.15 7.27 7.60 58.69 43.9605 2</t>
  </si>
  <si>
    <t>Shift - Afternoon 15% 7.67 8.00 8.00 8.00 31.67 6.5941 208.83</t>
  </si>
  <si>
    <t>Rec Leave 1.40 1.40 43.9605 61.54</t>
  </si>
  <si>
    <t>Lve Loading 22.92% 1.50 1.50 10.0757 15.11</t>
  </si>
  <si>
    <t>Sick Leave 7.60 5.52 0.33 13.45 43.9605 591.27</t>
  </si>
  <si>
    <t>NP Sick Leave 0.33 2.08 2.41</t>
  </si>
  <si>
    <t>Fortnightly Salary 7.60 7.60 7.60 6.65 7.60 3.80 7.60 48.45 43.9605 2</t>
  </si>
  <si>
    <t>Shift - Sat Loading - 50% 7.00 7.00 21.9803 153.86</t>
  </si>
  <si>
    <t>Shift-Sunday Loading-100% 8.00 8.00 16.00 43.9605 703.36</t>
  </si>
  <si>
    <t>Rec Leave 3.80 7.60 7.60 19.00 43.9605 835.25</t>
  </si>
  <si>
    <t>Lve Loading 22.92% 4.00 8.00 8.00 20.00 10.0757 201.52</t>
  </si>
  <si>
    <t>Sick Leave 0.95 0.95 43.9605 41.76</t>
  </si>
  <si>
    <t>Fortnightly Salary 7.10 5.70 7.60 7.60 7.60 35.60 43.9605 1</t>
  </si>
  <si>
    <t>Shift - Afternoon 15% 7.50 6.00 8.00 21.50 6.5941 141.77</t>
  </si>
  <si>
    <t>Rec Leave 7.60 7.60 7.60 7.60 30.40 43.9605 1</t>
  </si>
  <si>
    <t>Lve Loading 22.92% 8.00 8.00 8.00 8.00 32.00 10.0757 322.44</t>
  </si>
  <si>
    <t>Sick Leave 4.28 4.28 43.9605 188.15</t>
  </si>
  <si>
    <t>NP Sick Leave 1.90 3.32 5.22</t>
  </si>
  <si>
    <t>Fortnightly Salary 7.75 8.00 8.00 8.00 8.00 8.00 47.75 43.9605 2</t>
  </si>
  <si>
    <t>Public Holiday - 150% 8.00 8.00 65.9408 527.53</t>
  </si>
  <si>
    <t>Shift - Afternoon 15% 7.75 7.75 6.5941 51.10</t>
  </si>
  <si>
    <t>Shift - Sat Loading - 50% 8.00 8.00 16.00 21.9803 351.68</t>
  </si>
  <si>
    <t>Fortnightly Salary 8.00 8.00 8.00 24.00 43.9605 1</t>
  </si>
  <si>
    <t>HP Rec Leave 8.00 8.00 16.00 21.9803 351.68</t>
  </si>
  <si>
    <t>Lve Loading 22.92% HP 8.00 8.00 16.00 5.0379 80.60</t>
  </si>
  <si>
    <t>NP Sick Leave 8.00 8.00</t>
  </si>
  <si>
    <t>Fortnightly Salary 7.75 8.00 8.00 8.00 31.75 43.9605 1</t>
  </si>
  <si>
    <t>Public Holiday - 50% 7.75 7.75 21.9803 170.35</t>
  </si>
  <si>
    <t>Rec Leave 8.00 8.00 43.9605 351.68</t>
  </si>
  <si>
    <t>Lve Loading 22.92% 8.00 8.00 10.0757 80.61</t>
  </si>
  <si>
    <t>NP Sick Leave 8.00 8.00 16.00</t>
  </si>
  <si>
    <t>Fortnightly Salary 8.00 8.00 8.00 8.00 8.00 8.00 8.00 56.00 43.9605 2</t>
  </si>
  <si>
    <t>Fortnightly Salary 8.00 8.00 8.00 7.50 8.00 39.50 44.4618 1</t>
  </si>
  <si>
    <t>Shift - Afternoon 15% 8.00 8.00 8.00 7.50 31.50 6.6693 210.07</t>
  </si>
  <si>
    <t>Shift-Sunday Loading-100% 8.00 8.00 44.4618 355.69</t>
  </si>
  <si>
    <t>Under Contract Hours - PT 8.50</t>
  </si>
  <si>
    <t>Sick Leave 8.00 8.00 44.4618 355.69</t>
  </si>
  <si>
    <t>Fortnightly Salary 8.00 8.00 8.00 8.00 7.00 8.00 8.00 55.00 44.4618 2</t>
  </si>
  <si>
    <t>Shift - Night 15% 8.00 8.00 8.00 8.00 32.00 6.6693 213.40</t>
  </si>
  <si>
    <t>Shift - Sat Loading - 50% 8.00 8.00 22.2309 177.85</t>
  </si>
  <si>
    <t>Sick Leave 1.00 1.00 44.4618 44.46</t>
  </si>
  <si>
    <t>Fortnightly Salary 7.60 7.60 7.35 7.60 7.10 37.25 44.4618 1</t>
  </si>
  <si>
    <t>Shift - Afternoon 15% 8.00 8.00 7.50 23.50 6.6693 156.72</t>
  </si>
  <si>
    <t>Shift - Sat Loading - 50% 7.75 7.75 22.2309 172.29</t>
  </si>
  <si>
    <t>Rec Leave 0.25 0.25 44.4618 11.12</t>
  </si>
  <si>
    <t>Lve Loading 22.92% 0.25 0.25 10.1906 2.55</t>
  </si>
  <si>
    <t>Fortnightly Salary 7.60 7.35 7.60 7.60 7.60 7.60 45.35 44.4618 2</t>
  </si>
  <si>
    <t>Public Holiday - 150% 8.00 8.00 16.00 66.6927 1</t>
  </si>
  <si>
    <t>Public Holiday - 50% 8.00 8.00 22.2309 177.85</t>
  </si>
  <si>
    <t>Shift - Night 15% 8.00 8.00 6.6693 53.35</t>
  </si>
  <si>
    <t>Sick Leave 7.60 7.60 44.4618 337.91</t>
  </si>
  <si>
    <t>Fortnightly Salary 8.00 8.00 8.00 7.75 8.00 8.00 8.00 55.75 44.4618 2</t>
  </si>
  <si>
    <t>Shift - Night 15% 8.00 8.00 8.00 24.00 6.6693 160.05</t>
  </si>
  <si>
    <t>Shift-Sunday Loading-100% 7.75 7.75 44.4618 344.58</t>
  </si>
  <si>
    <t>Under Contract Hours - PT 0.25</t>
  </si>
  <si>
    <t>Fortnightly Salary 7.60 7.60 7.60 22.80 44.4618 1</t>
  </si>
  <si>
    <t>Public Holiday - 150% 8.00 8.00 66.6927 533.54</t>
  </si>
  <si>
    <t>Shift - Afternoon 15% 8.00 8.00 6.6693 53.35</t>
  </si>
  <si>
    <t>Fortnightly Salary 7.60 7.60 7.60 7.35 7.60 7.60 7.60 7.60 7.60 68.15 44.4618 3</t>
  </si>
  <si>
    <t>Fortnightly Salary 8.00 8.00 8.00 24.00 44.4618 1</t>
  </si>
  <si>
    <t>Sick Leave 2.12 2.12 44.4618 94.26</t>
  </si>
  <si>
    <t>NP Sick Leave 5.88 8.00 13.88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</si>
</sst>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  <font>
      <b/>
      <i/>
      <sz val="11"/>
      <name val="Calibri"/>
    </font>
    <font>
      <b/>
      <sz val="14"/>
      <color rgb="FF1F4E79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5" fillId="2" borderId="0" xfId="0" applyFont="1" applyFill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4" fontId="0" fillId="3" borderId="1" xfId="0" applyNumberFormat="1" applyFill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5" borderId="1" xfId="0" applyNumberFormat="1" applyFill="1" applyBorder="1" applyAlignment="1">
      <alignment vertical="center"/>
    </xf>
    <xf numFmtId="4" fontId="2" fillId="0" borderId="0" xfId="0" applyNumberFormat="1" applyFont="1"/>
    <xf numFmtId="2" fontId="3" fillId="0" borderId="0" xfId="0" applyNumberFormat="1" applyFont="1"/>
    <xf numFmtId="4" fontId="3" fillId="0" borderId="0" xfId="0" applyNumberFormat="1" applyFont="1"/>
    <xf numFmtId="4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  <xf numFmtId="0" fontId="6" fillId="0" borderId="0" xfId="0" applyFont="1"/>
    <xf numFmtId="2" fontId="6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7" fillId="6" borderId="0" xfId="0" applyNumberFormat="1" applyFont="1" applyFill="1"/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E13" sqref="E13"/>
    </sheetView>
  </sheetViews>
  <sheetFormatPr defaultRowHeight="15" x14ac:dyDescent="0.25"/>
  <cols>
    <col min="1" max="1" width="42" customWidth="1"/>
    <col min="2" max="3" width="18" customWidth="1"/>
  </cols>
  <sheetData>
    <row r="1" spans="1:3" ht="18.75" x14ac:dyDescent="0.3">
      <c r="A1" s="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ht="54.95" customHeight="1" x14ac:dyDescent="0.25">
      <c r="A4" s="2" t="s">
        <v>3</v>
      </c>
    </row>
    <row r="6" spans="1:3" x14ac:dyDescent="0.25">
      <c r="A6" s="3" t="s">
        <v>4</v>
      </c>
      <c r="B6" s="3" t="s">
        <v>5</v>
      </c>
      <c r="C6" s="3" t="s">
        <v>6</v>
      </c>
    </row>
    <row r="7" spans="1:3" x14ac:dyDescent="0.25">
      <c r="A7" t="s">
        <v>7</v>
      </c>
      <c r="B7">
        <v>26</v>
      </c>
    </row>
    <row r="8" spans="1:3" x14ac:dyDescent="0.25">
      <c r="A8" t="s">
        <v>8</v>
      </c>
      <c r="B8" s="4">
        <v>150.86000000000001</v>
      </c>
      <c r="C8" t="s">
        <v>9</v>
      </c>
    </row>
    <row r="9" spans="1:3" x14ac:dyDescent="0.25">
      <c r="A9" s="21" t="s">
        <v>10</v>
      </c>
      <c r="B9" s="22">
        <v>6</v>
      </c>
      <c r="C9" s="21" t="s">
        <v>9</v>
      </c>
    </row>
    <row r="10" spans="1:3" x14ac:dyDescent="0.25">
      <c r="A10" t="s">
        <v>11</v>
      </c>
      <c r="B10" s="4">
        <v>16.32</v>
      </c>
      <c r="C10" t="s">
        <v>9</v>
      </c>
    </row>
    <row r="11" spans="1:3" x14ac:dyDescent="0.25">
      <c r="A11" t="s">
        <v>12</v>
      </c>
      <c r="B11" s="4">
        <v>11.12</v>
      </c>
      <c r="C11" t="s">
        <v>9</v>
      </c>
    </row>
    <row r="12" spans="1:3" x14ac:dyDescent="0.25">
      <c r="A12" t="s">
        <v>13</v>
      </c>
      <c r="B12" s="4">
        <v>34.33</v>
      </c>
      <c r="C12" t="s">
        <v>9</v>
      </c>
    </row>
    <row r="13" spans="1:3" x14ac:dyDescent="0.25">
      <c r="A13" s="24" t="s">
        <v>14</v>
      </c>
      <c r="B13" s="23">
        <v>5.8</v>
      </c>
      <c r="C13" s="24" t="s">
        <v>9</v>
      </c>
    </row>
    <row r="14" spans="1:3" x14ac:dyDescent="0.25">
      <c r="A14" s="19" t="s">
        <v>15</v>
      </c>
      <c r="B14" s="20">
        <v>0.23</v>
      </c>
      <c r="C14" s="19" t="s">
        <v>9</v>
      </c>
    </row>
    <row r="15" spans="1:3" x14ac:dyDescent="0.25">
      <c r="A15" s="19" t="s">
        <v>16</v>
      </c>
      <c r="B15" s="20">
        <v>0.63</v>
      </c>
      <c r="C15" s="19" t="s">
        <v>9</v>
      </c>
    </row>
    <row r="16" spans="1:3" x14ac:dyDescent="0.25">
      <c r="A16" s="19" t="s">
        <v>17</v>
      </c>
      <c r="B16" s="20">
        <v>1.29</v>
      </c>
      <c r="C16" s="19" t="s">
        <v>9</v>
      </c>
    </row>
    <row r="17" spans="1:3" x14ac:dyDescent="0.25">
      <c r="A17" t="s">
        <v>18</v>
      </c>
      <c r="B17" s="5">
        <v>70446.960000000006</v>
      </c>
      <c r="C17" t="s">
        <v>19</v>
      </c>
    </row>
    <row r="18" spans="1:3" x14ac:dyDescent="0.25">
      <c r="A18" t="s">
        <v>20</v>
      </c>
      <c r="B18" s="5">
        <v>12210.77</v>
      </c>
      <c r="C18" t="s">
        <v>19</v>
      </c>
    </row>
    <row r="19" spans="1:3" x14ac:dyDescent="0.25">
      <c r="A19" t="s">
        <v>21</v>
      </c>
      <c r="B19" s="5">
        <v>2709.5</v>
      </c>
      <c r="C19" t="s">
        <v>19</v>
      </c>
    </row>
    <row r="20" spans="1:3" x14ac:dyDescent="0.25">
      <c r="A20" t="s">
        <v>22</v>
      </c>
      <c r="B20" s="5">
        <v>469.65</v>
      </c>
      <c r="C20" t="s">
        <v>19</v>
      </c>
    </row>
    <row r="21" spans="1:3" x14ac:dyDescent="0.25">
      <c r="A21" t="s">
        <v>23</v>
      </c>
      <c r="B21" s="5">
        <v>83875.740000000005</v>
      </c>
      <c r="C21" t="s">
        <v>19</v>
      </c>
    </row>
    <row r="22" spans="1:3" x14ac:dyDescent="0.25">
      <c r="A22" t="s">
        <v>24</v>
      </c>
      <c r="B22" s="5">
        <v>82664.2</v>
      </c>
      <c r="C22" t="s">
        <v>19</v>
      </c>
    </row>
    <row r="23" spans="1:3" x14ac:dyDescent="0.25">
      <c r="A23" t="s">
        <v>25</v>
      </c>
      <c r="B23" s="5">
        <v>3179.39</v>
      </c>
      <c r="C23" t="s">
        <v>19</v>
      </c>
    </row>
    <row r="24" spans="1:3" x14ac:dyDescent="0.25">
      <c r="A24" t="s">
        <v>26</v>
      </c>
      <c r="B24" s="5">
        <v>56573.36</v>
      </c>
      <c r="C24" t="s">
        <v>19</v>
      </c>
    </row>
    <row r="25" spans="1:3" x14ac:dyDescent="0.25">
      <c r="A25" t="s">
        <v>27</v>
      </c>
      <c r="B25" s="5">
        <v>2175.9</v>
      </c>
      <c r="C25" t="s">
        <v>19</v>
      </c>
    </row>
    <row r="26" spans="1:3" x14ac:dyDescent="0.25">
      <c r="A26" t="s">
        <v>28</v>
      </c>
      <c r="B26" s="5">
        <v>10513.89</v>
      </c>
      <c r="C26" t="s">
        <v>19</v>
      </c>
    </row>
    <row r="27" spans="1:3" x14ac:dyDescent="0.25">
      <c r="A27" t="s">
        <v>29</v>
      </c>
      <c r="B27" s="5">
        <v>404.38</v>
      </c>
      <c r="C27" t="s">
        <v>19</v>
      </c>
    </row>
    <row r="28" spans="1:3" x14ac:dyDescent="0.25">
      <c r="A28" t="s">
        <v>30</v>
      </c>
      <c r="B28" s="5">
        <v>3050.9</v>
      </c>
      <c r="C28" t="s">
        <v>19</v>
      </c>
    </row>
    <row r="29" spans="1:3" x14ac:dyDescent="0.25">
      <c r="A29" t="s">
        <v>31</v>
      </c>
      <c r="B29" s="5">
        <v>117.34</v>
      </c>
      <c r="C29" t="s">
        <v>19</v>
      </c>
    </row>
    <row r="30" spans="1:3" x14ac:dyDescent="0.25">
      <c r="A30" t="s">
        <v>32</v>
      </c>
      <c r="B30" s="5">
        <v>13564.79</v>
      </c>
      <c r="C30" t="s">
        <v>19</v>
      </c>
    </row>
    <row r="31" spans="1:3" x14ac:dyDescent="0.25">
      <c r="A31" t="s">
        <v>33</v>
      </c>
      <c r="B31" s="5">
        <v>521.72</v>
      </c>
      <c r="C31" t="s">
        <v>19</v>
      </c>
    </row>
    <row r="32" spans="1:3" x14ac:dyDescent="0.25">
      <c r="A32" t="s">
        <v>34</v>
      </c>
      <c r="B32" s="5">
        <v>8840.09</v>
      </c>
      <c r="C32" t="s">
        <v>19</v>
      </c>
    </row>
    <row r="34" spans="1:3" x14ac:dyDescent="0.25">
      <c r="A34" s="6" t="s">
        <v>35</v>
      </c>
    </row>
    <row r="35" spans="1:3" ht="120" customHeight="1" x14ac:dyDescent="0.25">
      <c r="A35" s="17" t="s">
        <v>36</v>
      </c>
      <c r="B35" s="18"/>
      <c r="C35" s="18"/>
    </row>
  </sheetData>
  <mergeCells count="1">
    <mergeCell ref="A35:C3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9"/>
  <sheetViews>
    <sheetView workbookViewId="0">
      <pane xSplit="1" ySplit="1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14" customWidth="1"/>
    <col min="4" max="4" width="12" customWidth="1"/>
    <col min="5" max="32" width="11" customWidth="1"/>
    <col min="33" max="33" width="36" customWidth="1"/>
    <col min="34" max="34" width="22" customWidth="1"/>
  </cols>
  <sheetData>
    <row r="1" spans="1:34" ht="45" customHeight="1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  <c r="X1" s="7" t="s">
        <v>60</v>
      </c>
      <c r="Y1" s="7" t="s">
        <v>61</v>
      </c>
      <c r="Z1" s="7" t="s">
        <v>62</v>
      </c>
      <c r="AA1" s="7" t="s">
        <v>63</v>
      </c>
      <c r="AB1" s="7" t="s">
        <v>64</v>
      </c>
      <c r="AC1" s="7" t="s">
        <v>65</v>
      </c>
      <c r="AD1" s="7" t="s">
        <v>66</v>
      </c>
      <c r="AE1" s="7" t="s">
        <v>67</v>
      </c>
      <c r="AF1" s="7" t="s">
        <v>68</v>
      </c>
      <c r="AG1" s="7" t="s">
        <v>69</v>
      </c>
      <c r="AH1" s="7" t="s">
        <v>70</v>
      </c>
    </row>
    <row r="2" spans="1:34" x14ac:dyDescent="0.25">
      <c r="A2" s="8" t="s">
        <v>71</v>
      </c>
      <c r="B2" s="8" t="s">
        <v>72</v>
      </c>
      <c r="C2" s="8" t="s">
        <v>73</v>
      </c>
      <c r="D2" s="8">
        <v>7.6</v>
      </c>
      <c r="E2" s="8">
        <v>8.68</v>
      </c>
      <c r="F2" s="8">
        <v>1</v>
      </c>
      <c r="G2" s="8">
        <v>0.32</v>
      </c>
      <c r="H2" s="8">
        <v>0</v>
      </c>
      <c r="I2" s="8">
        <v>0</v>
      </c>
      <c r="J2" s="8">
        <v>0</v>
      </c>
      <c r="K2" s="8">
        <v>1.32</v>
      </c>
      <c r="L2" s="8">
        <v>10</v>
      </c>
      <c r="M2" s="8">
        <v>65.97</v>
      </c>
      <c r="N2" s="8">
        <v>7.6</v>
      </c>
      <c r="O2" s="8">
        <v>2.4300000000000002</v>
      </c>
      <c r="P2" s="8">
        <v>0</v>
      </c>
      <c r="Q2" s="8">
        <v>0</v>
      </c>
      <c r="R2" s="9">
        <v>3979.58</v>
      </c>
      <c r="S2" s="10">
        <v>432.97</v>
      </c>
      <c r="T2" s="11">
        <v>328.07</v>
      </c>
      <c r="U2" s="11">
        <v>104.9</v>
      </c>
      <c r="V2" s="11">
        <v>0</v>
      </c>
      <c r="W2" s="11">
        <v>0</v>
      </c>
      <c r="X2" s="11">
        <v>4412.55</v>
      </c>
      <c r="Y2" s="11">
        <v>0</v>
      </c>
      <c r="Z2" s="11">
        <v>4412.55</v>
      </c>
      <c r="AA2" s="11">
        <v>2786.05</v>
      </c>
      <c r="AB2" s="11">
        <v>-1108</v>
      </c>
      <c r="AC2" s="11">
        <v>-354.46</v>
      </c>
      <c r="AD2" s="12">
        <v>164.04</v>
      </c>
      <c r="AE2" s="12">
        <v>562.6</v>
      </c>
      <c r="AF2" s="12">
        <v>726.64</v>
      </c>
      <c r="AG2" s="8" t="s">
        <v>74</v>
      </c>
      <c r="AH2" s="8"/>
    </row>
    <row r="3" spans="1:34" x14ac:dyDescent="0.25">
      <c r="A3" s="8" t="s">
        <v>75</v>
      </c>
      <c r="B3" s="8" t="s">
        <v>76</v>
      </c>
      <c r="C3" s="8" t="s">
        <v>77</v>
      </c>
      <c r="D3" s="8">
        <v>7.6</v>
      </c>
      <c r="E3" s="8">
        <v>5.72</v>
      </c>
      <c r="F3" s="8">
        <v>0</v>
      </c>
      <c r="G3" s="8">
        <v>2.48</v>
      </c>
      <c r="H3" s="8">
        <v>0.03</v>
      </c>
      <c r="I3" s="8">
        <v>0</v>
      </c>
      <c r="J3" s="8">
        <v>1.77</v>
      </c>
      <c r="K3" s="8">
        <v>2.52</v>
      </c>
      <c r="L3" s="8">
        <v>10</v>
      </c>
      <c r="M3" s="8">
        <v>43.45</v>
      </c>
      <c r="N3" s="8">
        <v>0</v>
      </c>
      <c r="O3" s="8">
        <v>18.87</v>
      </c>
      <c r="P3" s="8">
        <v>0.25</v>
      </c>
      <c r="Q3" s="8">
        <v>13.43</v>
      </c>
      <c r="R3" s="9">
        <v>2374.73</v>
      </c>
      <c r="S3" s="10">
        <v>986.13</v>
      </c>
      <c r="T3" s="11">
        <v>0</v>
      </c>
      <c r="U3" s="11">
        <v>814.57</v>
      </c>
      <c r="V3" s="11">
        <v>171.56</v>
      </c>
      <c r="W3" s="11">
        <v>0</v>
      </c>
      <c r="X3" s="11">
        <v>3360.86</v>
      </c>
      <c r="Y3" s="11">
        <v>0</v>
      </c>
      <c r="Z3" s="11">
        <v>3321.05</v>
      </c>
      <c r="AA3" s="11">
        <v>2221.34</v>
      </c>
      <c r="AB3" s="11">
        <v>-652</v>
      </c>
      <c r="AC3" s="11">
        <v>-354.46</v>
      </c>
      <c r="AD3" s="12">
        <v>133.06</v>
      </c>
      <c r="AE3" s="12">
        <v>423.43</v>
      </c>
      <c r="AF3" s="12">
        <v>556.49</v>
      </c>
      <c r="AG3" s="8" t="s">
        <v>78</v>
      </c>
      <c r="AH3" s="8"/>
    </row>
    <row r="4" spans="1:34" x14ac:dyDescent="0.25">
      <c r="A4" s="8" t="s">
        <v>79</v>
      </c>
      <c r="B4" s="8" t="s">
        <v>80</v>
      </c>
      <c r="C4" s="8" t="s">
        <v>81</v>
      </c>
      <c r="D4" s="8">
        <v>7.6</v>
      </c>
      <c r="E4" s="8">
        <v>5.59</v>
      </c>
      <c r="F4" s="8">
        <v>0</v>
      </c>
      <c r="G4" s="8">
        <v>0</v>
      </c>
      <c r="H4" s="8">
        <v>1.34</v>
      </c>
      <c r="I4" s="8">
        <v>0</v>
      </c>
      <c r="J4" s="8">
        <v>3.07</v>
      </c>
      <c r="K4" s="8">
        <v>1.34</v>
      </c>
      <c r="L4" s="8">
        <v>9.99</v>
      </c>
      <c r="M4" s="8">
        <v>42.45</v>
      </c>
      <c r="N4" s="8">
        <v>0</v>
      </c>
      <c r="O4" s="8">
        <v>0</v>
      </c>
      <c r="P4" s="8">
        <v>10.199999999999999</v>
      </c>
      <c r="Q4" s="8">
        <v>23.3</v>
      </c>
      <c r="R4" s="9">
        <v>2319.15</v>
      </c>
      <c r="S4" s="10">
        <v>476.95</v>
      </c>
      <c r="T4" s="11">
        <v>0</v>
      </c>
      <c r="U4" s="11">
        <v>0</v>
      </c>
      <c r="V4" s="11">
        <v>476.95</v>
      </c>
      <c r="W4" s="11">
        <v>0</v>
      </c>
      <c r="X4" s="11">
        <v>2798.26</v>
      </c>
      <c r="Y4" s="11">
        <v>0</v>
      </c>
      <c r="Z4" s="11">
        <v>2798.26</v>
      </c>
      <c r="AA4" s="11">
        <v>1916.86</v>
      </c>
      <c r="AB4" s="11">
        <v>-416</v>
      </c>
      <c r="AC4" s="11">
        <v>-354.46</v>
      </c>
      <c r="AD4" s="12">
        <v>110.94</v>
      </c>
      <c r="AE4" s="12">
        <v>356.78</v>
      </c>
      <c r="AF4" s="12">
        <v>467.72</v>
      </c>
      <c r="AG4" s="8" t="s">
        <v>82</v>
      </c>
      <c r="AH4" s="8"/>
    </row>
    <row r="5" spans="1:34" x14ac:dyDescent="0.25">
      <c r="A5" s="8" t="s">
        <v>83</v>
      </c>
      <c r="B5" s="8" t="s">
        <v>84</v>
      </c>
      <c r="C5" s="8" t="s">
        <v>85</v>
      </c>
      <c r="D5" s="8">
        <v>7.6</v>
      </c>
      <c r="E5" s="8">
        <v>6.43</v>
      </c>
      <c r="F5" s="8">
        <v>1</v>
      </c>
      <c r="G5" s="8">
        <v>0.56000000000000005</v>
      </c>
      <c r="H5" s="8">
        <v>0</v>
      </c>
      <c r="I5" s="8">
        <v>0</v>
      </c>
      <c r="J5" s="8">
        <v>2</v>
      </c>
      <c r="K5" s="8">
        <v>1.56</v>
      </c>
      <c r="L5" s="8">
        <v>9.99</v>
      </c>
      <c r="M5" s="8">
        <v>48.9</v>
      </c>
      <c r="N5" s="8">
        <v>7.6</v>
      </c>
      <c r="O5" s="8">
        <v>4.25</v>
      </c>
      <c r="P5" s="8">
        <v>0</v>
      </c>
      <c r="Q5" s="8">
        <v>15.2</v>
      </c>
      <c r="R5" s="9">
        <v>3250.49</v>
      </c>
      <c r="S5" s="10">
        <v>511.53</v>
      </c>
      <c r="T5" s="11">
        <v>328.07</v>
      </c>
      <c r="U5" s="11">
        <v>183.46</v>
      </c>
      <c r="V5" s="11">
        <v>0</v>
      </c>
      <c r="W5" s="11">
        <v>0</v>
      </c>
      <c r="X5" s="11">
        <v>3764.18</v>
      </c>
      <c r="Y5" s="11">
        <v>0</v>
      </c>
      <c r="Z5" s="11">
        <v>3764.18</v>
      </c>
      <c r="AA5" s="11">
        <v>2464.6</v>
      </c>
      <c r="AB5" s="11">
        <v>-836</v>
      </c>
      <c r="AC5" s="11">
        <v>-332.35</v>
      </c>
      <c r="AD5" s="12">
        <v>131.22999999999999</v>
      </c>
      <c r="AE5" s="12">
        <v>479.93</v>
      </c>
      <c r="AF5" s="12">
        <v>611.16</v>
      </c>
      <c r="AG5" s="8" t="s">
        <v>86</v>
      </c>
      <c r="AH5" s="8"/>
    </row>
    <row r="6" spans="1:34" x14ac:dyDescent="0.25">
      <c r="A6" s="8" t="s">
        <v>87</v>
      </c>
      <c r="B6" s="8" t="s">
        <v>88</v>
      </c>
      <c r="C6" s="8" t="s">
        <v>89</v>
      </c>
      <c r="D6" s="8">
        <v>7.6</v>
      </c>
      <c r="E6" s="8">
        <v>3.81</v>
      </c>
      <c r="F6" s="8">
        <v>0</v>
      </c>
      <c r="G6" s="8">
        <v>0</v>
      </c>
      <c r="H6" s="8">
        <v>0</v>
      </c>
      <c r="I6" s="8">
        <v>0</v>
      </c>
      <c r="J6" s="8">
        <v>6.18</v>
      </c>
      <c r="K6" s="8">
        <v>0</v>
      </c>
      <c r="L6" s="8">
        <v>9.99</v>
      </c>
      <c r="M6" s="8">
        <v>28.95</v>
      </c>
      <c r="N6" s="8">
        <v>0</v>
      </c>
      <c r="O6" s="8">
        <v>0</v>
      </c>
      <c r="P6" s="8">
        <v>0</v>
      </c>
      <c r="Q6" s="8">
        <v>47</v>
      </c>
      <c r="R6" s="9">
        <v>1945.76</v>
      </c>
      <c r="S6" s="10">
        <v>0</v>
      </c>
      <c r="T6" s="11">
        <v>0</v>
      </c>
      <c r="U6" s="11">
        <v>0</v>
      </c>
      <c r="V6" s="11">
        <v>0</v>
      </c>
      <c r="W6" s="11">
        <v>0</v>
      </c>
      <c r="X6" s="11">
        <v>1947.92</v>
      </c>
      <c r="Y6" s="11">
        <v>0</v>
      </c>
      <c r="Z6" s="11">
        <v>1867.19</v>
      </c>
      <c r="AA6" s="11">
        <v>1391.01</v>
      </c>
      <c r="AB6" s="11">
        <v>-136</v>
      </c>
      <c r="AC6" s="11">
        <v>-332.35</v>
      </c>
      <c r="AD6" s="12">
        <v>58.56</v>
      </c>
      <c r="AE6" s="12">
        <v>238.07</v>
      </c>
      <c r="AF6" s="12">
        <v>296.63</v>
      </c>
      <c r="AG6" s="8" t="s">
        <v>90</v>
      </c>
      <c r="AH6" s="8"/>
    </row>
    <row r="7" spans="1:34" x14ac:dyDescent="0.25">
      <c r="A7" s="8" t="s">
        <v>91</v>
      </c>
      <c r="B7" s="8" t="s">
        <v>92</v>
      </c>
      <c r="C7" s="8" t="s">
        <v>93</v>
      </c>
      <c r="D7" s="8">
        <v>7.6</v>
      </c>
      <c r="E7" s="8">
        <v>4.5599999999999996</v>
      </c>
      <c r="F7" s="8">
        <v>1</v>
      </c>
      <c r="G7" s="8">
        <v>0</v>
      </c>
      <c r="H7" s="8">
        <v>0</v>
      </c>
      <c r="I7" s="8">
        <v>0</v>
      </c>
      <c r="J7" s="8">
        <v>4.43</v>
      </c>
      <c r="K7" s="8">
        <v>1</v>
      </c>
      <c r="L7" s="8">
        <v>9.99</v>
      </c>
      <c r="M7" s="8">
        <v>34.65</v>
      </c>
      <c r="N7" s="8">
        <v>7.6</v>
      </c>
      <c r="O7" s="8">
        <v>0</v>
      </c>
      <c r="P7" s="8">
        <v>0</v>
      </c>
      <c r="Q7" s="8">
        <v>33.700000000000003</v>
      </c>
      <c r="R7" s="9">
        <v>2013.75</v>
      </c>
      <c r="S7" s="10">
        <v>328.07</v>
      </c>
      <c r="T7" s="11">
        <v>328.07</v>
      </c>
      <c r="U7" s="11">
        <v>0</v>
      </c>
      <c r="V7" s="11">
        <v>0</v>
      </c>
      <c r="W7" s="11">
        <v>0</v>
      </c>
      <c r="X7" s="11">
        <v>2343.98</v>
      </c>
      <c r="Y7" s="11">
        <v>0</v>
      </c>
      <c r="Z7" s="11">
        <v>2343.98</v>
      </c>
      <c r="AA7" s="11">
        <v>1660.33</v>
      </c>
      <c r="AB7" s="11">
        <v>-260</v>
      </c>
      <c r="AC7" s="11">
        <v>-332.35</v>
      </c>
      <c r="AD7" s="12">
        <v>91.3</v>
      </c>
      <c r="AE7" s="12">
        <v>298.86</v>
      </c>
      <c r="AF7" s="12">
        <v>390.16</v>
      </c>
      <c r="AG7" s="8" t="s">
        <v>94</v>
      </c>
      <c r="AH7" s="8"/>
    </row>
    <row r="8" spans="1:34" x14ac:dyDescent="0.25">
      <c r="A8" s="8" t="s">
        <v>95</v>
      </c>
      <c r="B8" s="8" t="s">
        <v>96</v>
      </c>
      <c r="C8" s="8" t="s">
        <v>97</v>
      </c>
      <c r="D8" s="8">
        <v>7.6</v>
      </c>
      <c r="E8" s="8">
        <v>2</v>
      </c>
      <c r="F8" s="8">
        <v>0</v>
      </c>
      <c r="G8" s="8">
        <v>4.8600000000000003</v>
      </c>
      <c r="H8" s="8">
        <v>0</v>
      </c>
      <c r="I8" s="8">
        <v>0</v>
      </c>
      <c r="J8" s="8">
        <v>3.14</v>
      </c>
      <c r="K8" s="8">
        <v>4.8600000000000003</v>
      </c>
      <c r="L8" s="8">
        <v>10</v>
      </c>
      <c r="M8" s="8">
        <v>15.2</v>
      </c>
      <c r="N8" s="8">
        <v>0</v>
      </c>
      <c r="O8" s="8">
        <v>36.92</v>
      </c>
      <c r="P8" s="8">
        <v>0</v>
      </c>
      <c r="Q8" s="8">
        <v>23.88</v>
      </c>
      <c r="R8" s="9">
        <v>759.74</v>
      </c>
      <c r="S8" s="10">
        <v>1910.33</v>
      </c>
      <c r="T8" s="11">
        <v>0</v>
      </c>
      <c r="U8" s="11">
        <v>1593.73</v>
      </c>
      <c r="V8" s="11">
        <v>316.60000000000002</v>
      </c>
      <c r="W8" s="11">
        <v>0</v>
      </c>
      <c r="X8" s="11">
        <v>2670.07</v>
      </c>
      <c r="Y8" s="11">
        <v>0</v>
      </c>
      <c r="Z8" s="11">
        <v>2670.07</v>
      </c>
      <c r="AA8" s="11">
        <v>1867.23</v>
      </c>
      <c r="AB8" s="11">
        <v>-358</v>
      </c>
      <c r="AC8" s="11">
        <v>-332.35</v>
      </c>
      <c r="AD8" s="12">
        <v>112.49</v>
      </c>
      <c r="AE8" s="12">
        <v>340.43</v>
      </c>
      <c r="AF8" s="12">
        <v>452.92</v>
      </c>
      <c r="AG8" s="8" t="s">
        <v>98</v>
      </c>
      <c r="AH8" s="8"/>
    </row>
    <row r="9" spans="1:34" x14ac:dyDescent="0.25">
      <c r="A9" s="8" t="s">
        <v>99</v>
      </c>
      <c r="B9" s="8" t="s">
        <v>100</v>
      </c>
      <c r="C9" s="8" t="s">
        <v>101</v>
      </c>
      <c r="D9" s="8">
        <v>7.6</v>
      </c>
      <c r="E9" s="8">
        <v>9</v>
      </c>
      <c r="F9" s="8">
        <v>1</v>
      </c>
      <c r="G9" s="8">
        <v>0</v>
      </c>
      <c r="H9" s="8">
        <v>0</v>
      </c>
      <c r="I9" s="8">
        <v>0</v>
      </c>
      <c r="J9" s="8">
        <v>0</v>
      </c>
      <c r="K9" s="8">
        <v>1</v>
      </c>
      <c r="L9" s="8">
        <v>10</v>
      </c>
      <c r="M9" s="8">
        <v>68.400000000000006</v>
      </c>
      <c r="N9" s="8">
        <v>7.6</v>
      </c>
      <c r="O9" s="8">
        <v>0</v>
      </c>
      <c r="P9" s="8">
        <v>0</v>
      </c>
      <c r="Q9" s="8">
        <v>0</v>
      </c>
      <c r="R9" s="9">
        <v>4092.25</v>
      </c>
      <c r="S9" s="10">
        <v>328.07</v>
      </c>
      <c r="T9" s="11">
        <v>328.07</v>
      </c>
      <c r="U9" s="11">
        <v>0</v>
      </c>
      <c r="V9" s="11">
        <v>0</v>
      </c>
      <c r="W9" s="11">
        <v>0</v>
      </c>
      <c r="X9" s="11">
        <v>4420.32</v>
      </c>
      <c r="Y9" s="11">
        <v>0</v>
      </c>
      <c r="Z9" s="11">
        <v>4420.32</v>
      </c>
      <c r="AA9" s="11">
        <v>2819.93</v>
      </c>
      <c r="AB9" s="11">
        <v>-1104</v>
      </c>
      <c r="AC9" s="11">
        <v>-332.35</v>
      </c>
      <c r="AD9" s="12">
        <v>164.04</v>
      </c>
      <c r="AE9" s="12">
        <v>563.59</v>
      </c>
      <c r="AF9" s="12">
        <v>727.63</v>
      </c>
      <c r="AG9" s="8" t="s">
        <v>102</v>
      </c>
      <c r="AH9" s="8"/>
    </row>
    <row r="10" spans="1:34" x14ac:dyDescent="0.25">
      <c r="A10" s="8" t="s">
        <v>103</v>
      </c>
      <c r="B10" s="8" t="s">
        <v>104</v>
      </c>
      <c r="C10" s="8" t="s">
        <v>105</v>
      </c>
      <c r="D10" s="8">
        <v>7.6</v>
      </c>
      <c r="E10" s="8">
        <v>6.97</v>
      </c>
      <c r="F10" s="8">
        <v>1</v>
      </c>
      <c r="G10" s="8">
        <v>2.0299999999999998</v>
      </c>
      <c r="H10" s="8">
        <v>0</v>
      </c>
      <c r="I10" s="8">
        <v>0</v>
      </c>
      <c r="J10" s="8">
        <v>0</v>
      </c>
      <c r="K10" s="8">
        <v>3.03</v>
      </c>
      <c r="L10" s="8">
        <v>10</v>
      </c>
      <c r="M10" s="8">
        <v>52.95</v>
      </c>
      <c r="N10" s="8">
        <v>7.6</v>
      </c>
      <c r="O10" s="8">
        <v>15.45</v>
      </c>
      <c r="P10" s="8">
        <v>0</v>
      </c>
      <c r="Q10" s="8">
        <v>0</v>
      </c>
      <c r="R10" s="9">
        <v>3013.48</v>
      </c>
      <c r="S10" s="10">
        <v>1174.51</v>
      </c>
      <c r="T10" s="11">
        <v>334.1</v>
      </c>
      <c r="U10" s="11">
        <v>679.19</v>
      </c>
      <c r="V10" s="11">
        <v>161.22</v>
      </c>
      <c r="W10" s="11">
        <v>0</v>
      </c>
      <c r="X10" s="11">
        <v>4187.99</v>
      </c>
      <c r="Y10" s="11">
        <v>130.31</v>
      </c>
      <c r="Z10" s="11">
        <v>4318.3</v>
      </c>
      <c r="AA10" s="11">
        <v>2765.82</v>
      </c>
      <c r="AB10" s="11">
        <v>-1048</v>
      </c>
      <c r="AC10" s="11">
        <v>-332.35</v>
      </c>
      <c r="AD10" s="12">
        <v>172.13</v>
      </c>
      <c r="AE10" s="12">
        <v>550.58000000000004</v>
      </c>
      <c r="AF10" s="12">
        <v>722.71</v>
      </c>
      <c r="AG10" s="8" t="s">
        <v>106</v>
      </c>
      <c r="AH10" s="8"/>
    </row>
    <row r="11" spans="1:34" x14ac:dyDescent="0.25">
      <c r="A11" s="8" t="s">
        <v>107</v>
      </c>
      <c r="B11" s="8" t="s">
        <v>108</v>
      </c>
      <c r="C11" s="8" t="s">
        <v>109</v>
      </c>
      <c r="D11" s="8">
        <v>7.6</v>
      </c>
      <c r="E11" s="8">
        <v>5.97</v>
      </c>
      <c r="F11" s="8">
        <v>0</v>
      </c>
      <c r="G11" s="8">
        <v>0.03</v>
      </c>
      <c r="H11" s="8">
        <v>0</v>
      </c>
      <c r="I11" s="8">
        <v>0</v>
      </c>
      <c r="J11" s="8">
        <v>4</v>
      </c>
      <c r="K11" s="8">
        <v>0.03</v>
      </c>
      <c r="L11" s="8">
        <v>10</v>
      </c>
      <c r="M11" s="8">
        <v>45.35</v>
      </c>
      <c r="N11" s="8">
        <v>0</v>
      </c>
      <c r="O11" s="8">
        <v>0.25</v>
      </c>
      <c r="P11" s="8">
        <v>0</v>
      </c>
      <c r="Q11" s="8">
        <v>30.4</v>
      </c>
      <c r="R11" s="9">
        <v>2510.14</v>
      </c>
      <c r="S11" s="10">
        <v>10.99</v>
      </c>
      <c r="T11" s="11">
        <v>0</v>
      </c>
      <c r="U11" s="11">
        <v>10.99</v>
      </c>
      <c r="V11" s="11">
        <v>0</v>
      </c>
      <c r="W11" s="11">
        <v>0</v>
      </c>
      <c r="X11" s="11">
        <v>2521.13</v>
      </c>
      <c r="Y11" s="11">
        <v>0</v>
      </c>
      <c r="Z11" s="11">
        <v>2521.13</v>
      </c>
      <c r="AA11" s="11">
        <v>1774.55</v>
      </c>
      <c r="AB11" s="11">
        <v>-314</v>
      </c>
      <c r="AC11" s="11">
        <v>-332.35</v>
      </c>
      <c r="AD11" s="12">
        <v>100.23</v>
      </c>
      <c r="AE11" s="12">
        <v>321.44</v>
      </c>
      <c r="AF11" s="12">
        <v>421.67</v>
      </c>
      <c r="AG11" s="8" t="s">
        <v>110</v>
      </c>
      <c r="AH11" s="8"/>
    </row>
    <row r="12" spans="1:34" x14ac:dyDescent="0.25">
      <c r="A12" s="8" t="s">
        <v>111</v>
      </c>
      <c r="B12" s="8" t="s">
        <v>112</v>
      </c>
      <c r="C12" s="8" t="s">
        <v>113</v>
      </c>
      <c r="D12" s="8">
        <v>7.6</v>
      </c>
      <c r="E12" s="8">
        <v>8.81</v>
      </c>
      <c r="F12" s="8">
        <v>0</v>
      </c>
      <c r="G12" s="8">
        <v>0.18</v>
      </c>
      <c r="H12" s="8">
        <v>0</v>
      </c>
      <c r="I12" s="8">
        <v>0</v>
      </c>
      <c r="J12" s="8">
        <v>0</v>
      </c>
      <c r="K12" s="8">
        <v>0.18</v>
      </c>
      <c r="L12" s="8">
        <v>8.99</v>
      </c>
      <c r="M12" s="8">
        <v>66.95</v>
      </c>
      <c r="N12" s="8">
        <v>0</v>
      </c>
      <c r="O12" s="8">
        <v>1.4</v>
      </c>
      <c r="P12" s="8">
        <v>0</v>
      </c>
      <c r="Q12" s="8">
        <v>0</v>
      </c>
      <c r="R12" s="9">
        <v>3724.54</v>
      </c>
      <c r="S12" s="10">
        <v>61.54</v>
      </c>
      <c r="T12" s="11">
        <v>0</v>
      </c>
      <c r="U12" s="11">
        <v>61.54</v>
      </c>
      <c r="V12" s="11">
        <v>0</v>
      </c>
      <c r="W12" s="11">
        <v>0</v>
      </c>
      <c r="X12" s="11">
        <v>3788.28</v>
      </c>
      <c r="Y12" s="11">
        <v>0</v>
      </c>
      <c r="Z12" s="11">
        <v>3788.28</v>
      </c>
      <c r="AA12" s="11">
        <v>2491.59</v>
      </c>
      <c r="AB12" s="11">
        <v>-814</v>
      </c>
      <c r="AC12" s="11">
        <v>-332.35</v>
      </c>
      <c r="AD12" s="12">
        <v>150.34</v>
      </c>
      <c r="AE12" s="12">
        <v>483.01</v>
      </c>
      <c r="AF12" s="12">
        <v>633.35</v>
      </c>
      <c r="AG12" s="8" t="s">
        <v>114</v>
      </c>
      <c r="AH12" s="8"/>
    </row>
    <row r="13" spans="1:34" x14ac:dyDescent="0.25">
      <c r="A13" s="8" t="s">
        <v>115</v>
      </c>
      <c r="B13" s="8" t="s">
        <v>116</v>
      </c>
      <c r="C13" s="8" t="s">
        <v>117</v>
      </c>
      <c r="D13" s="8">
        <v>7.6</v>
      </c>
      <c r="E13" s="8">
        <v>7.72</v>
      </c>
      <c r="F13" s="8">
        <v>0</v>
      </c>
      <c r="G13" s="8">
        <v>1.77</v>
      </c>
      <c r="H13" s="8">
        <v>0.18</v>
      </c>
      <c r="I13" s="8">
        <v>0</v>
      </c>
      <c r="J13" s="8">
        <v>0.32</v>
      </c>
      <c r="K13" s="8">
        <v>1.95</v>
      </c>
      <c r="L13" s="8">
        <v>9.99</v>
      </c>
      <c r="M13" s="8">
        <v>58.69</v>
      </c>
      <c r="N13" s="8">
        <v>0</v>
      </c>
      <c r="O13" s="8">
        <v>13.45</v>
      </c>
      <c r="P13" s="8">
        <v>1.4</v>
      </c>
      <c r="Q13" s="8">
        <v>2.41</v>
      </c>
      <c r="R13" s="9">
        <v>3316.39</v>
      </c>
      <c r="S13" s="10">
        <v>667.92</v>
      </c>
      <c r="T13" s="11">
        <v>0</v>
      </c>
      <c r="U13" s="11">
        <v>591.27</v>
      </c>
      <c r="V13" s="11">
        <v>76.650000000000006</v>
      </c>
      <c r="W13" s="11">
        <v>0</v>
      </c>
      <c r="X13" s="11">
        <v>4186.74</v>
      </c>
      <c r="Y13" s="11">
        <v>0</v>
      </c>
      <c r="Z13" s="11">
        <v>4186.74</v>
      </c>
      <c r="AA13" s="11">
        <v>2704.64</v>
      </c>
      <c r="AB13" s="11">
        <v>-988</v>
      </c>
      <c r="AC13" s="11">
        <v>-332.35</v>
      </c>
      <c r="AD13" s="12">
        <v>161.75</v>
      </c>
      <c r="AE13" s="12">
        <v>508.28</v>
      </c>
      <c r="AF13" s="12">
        <v>670.03</v>
      </c>
      <c r="AG13" s="8" t="s">
        <v>118</v>
      </c>
      <c r="AH13" s="8"/>
    </row>
    <row r="14" spans="1:34" x14ac:dyDescent="0.25">
      <c r="A14" s="8" t="s">
        <v>119</v>
      </c>
      <c r="B14" s="8" t="s">
        <v>120</v>
      </c>
      <c r="C14" s="8" t="s">
        <v>121</v>
      </c>
      <c r="D14" s="8">
        <v>7.6</v>
      </c>
      <c r="E14" s="8">
        <v>6.38</v>
      </c>
      <c r="F14" s="8">
        <v>1</v>
      </c>
      <c r="G14" s="8">
        <v>0.12</v>
      </c>
      <c r="H14" s="8">
        <v>2.5</v>
      </c>
      <c r="I14" s="8">
        <v>0</v>
      </c>
      <c r="J14" s="8">
        <v>0</v>
      </c>
      <c r="K14" s="8">
        <v>3.62</v>
      </c>
      <c r="L14" s="8">
        <v>10</v>
      </c>
      <c r="M14" s="8">
        <v>48.45</v>
      </c>
      <c r="N14" s="8">
        <v>7.6</v>
      </c>
      <c r="O14" s="8">
        <v>0.95</v>
      </c>
      <c r="P14" s="8">
        <v>19</v>
      </c>
      <c r="Q14" s="8">
        <v>0</v>
      </c>
      <c r="R14" s="9">
        <v>3092.61</v>
      </c>
      <c r="S14" s="10">
        <v>1412.63</v>
      </c>
      <c r="T14" s="11">
        <v>334.1</v>
      </c>
      <c r="U14" s="11">
        <v>41.76</v>
      </c>
      <c r="V14" s="11">
        <v>1036.77</v>
      </c>
      <c r="W14" s="11">
        <v>0</v>
      </c>
      <c r="X14" s="11">
        <v>4505.24</v>
      </c>
      <c r="Y14" s="11">
        <v>0</v>
      </c>
      <c r="Z14" s="11">
        <v>4505.24</v>
      </c>
      <c r="AA14" s="11">
        <v>2861.84</v>
      </c>
      <c r="AB14" s="11">
        <v>-1144</v>
      </c>
      <c r="AC14" s="11">
        <v>-332.35</v>
      </c>
      <c r="AD14" s="12">
        <v>167.05</v>
      </c>
      <c r="AE14" s="12">
        <v>574.41999999999996</v>
      </c>
      <c r="AF14" s="12">
        <v>741.47</v>
      </c>
      <c r="AG14" s="8" t="s">
        <v>122</v>
      </c>
      <c r="AH14" s="8"/>
    </row>
    <row r="15" spans="1:34" x14ac:dyDescent="0.25">
      <c r="A15" s="8" t="s">
        <v>123</v>
      </c>
      <c r="B15" s="8" t="s">
        <v>124</v>
      </c>
      <c r="C15" s="8" t="s">
        <v>125</v>
      </c>
      <c r="D15" s="8">
        <v>7.6</v>
      </c>
      <c r="E15" s="8">
        <v>4.68</v>
      </c>
      <c r="F15" s="8">
        <v>0</v>
      </c>
      <c r="G15" s="8">
        <v>0.56000000000000005</v>
      </c>
      <c r="H15" s="8">
        <v>4</v>
      </c>
      <c r="I15" s="8">
        <v>0</v>
      </c>
      <c r="J15" s="8">
        <v>0.69</v>
      </c>
      <c r="K15" s="8">
        <v>4.5599999999999996</v>
      </c>
      <c r="L15" s="8">
        <v>9.93</v>
      </c>
      <c r="M15" s="8">
        <v>35.6</v>
      </c>
      <c r="N15" s="8">
        <v>0</v>
      </c>
      <c r="O15" s="8">
        <v>4.28</v>
      </c>
      <c r="P15" s="8">
        <v>30.4</v>
      </c>
      <c r="Q15" s="8">
        <v>5.22</v>
      </c>
      <c r="R15" s="9">
        <v>2234.2800000000002</v>
      </c>
      <c r="S15" s="10">
        <v>1846.99</v>
      </c>
      <c r="T15" s="11">
        <v>0</v>
      </c>
      <c r="U15" s="11">
        <v>188.15</v>
      </c>
      <c r="V15" s="11">
        <v>1658.84</v>
      </c>
      <c r="W15" s="11">
        <v>0</v>
      </c>
      <c r="X15" s="11">
        <v>4103.25</v>
      </c>
      <c r="Y15" s="11">
        <v>0</v>
      </c>
      <c r="Z15" s="11">
        <v>4103.25</v>
      </c>
      <c r="AA15" s="11">
        <v>2655.32</v>
      </c>
      <c r="AB15" s="11">
        <v>-960</v>
      </c>
      <c r="AC15" s="11">
        <v>-332.35</v>
      </c>
      <c r="AD15" s="12">
        <v>155.58000000000001</v>
      </c>
      <c r="AE15" s="12">
        <v>523.16</v>
      </c>
      <c r="AF15" s="12">
        <v>678.74</v>
      </c>
      <c r="AG15" s="8" t="s">
        <v>126</v>
      </c>
      <c r="AH15" s="8"/>
    </row>
    <row r="16" spans="1:34" x14ac:dyDescent="0.25">
      <c r="A16" s="8" t="s">
        <v>127</v>
      </c>
      <c r="B16" s="8" t="s">
        <v>128</v>
      </c>
      <c r="C16" s="8" t="s">
        <v>129</v>
      </c>
      <c r="D16" s="8">
        <v>8</v>
      </c>
      <c r="E16" s="8">
        <v>5.97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5.97</v>
      </c>
      <c r="M16" s="8">
        <v>47.75</v>
      </c>
      <c r="N16" s="8">
        <v>0</v>
      </c>
      <c r="O16" s="8">
        <v>0</v>
      </c>
      <c r="P16" s="8">
        <v>0</v>
      </c>
      <c r="Q16" s="8">
        <v>0</v>
      </c>
      <c r="R16" s="9">
        <v>3732.78</v>
      </c>
      <c r="S16" s="10">
        <v>0</v>
      </c>
      <c r="T16" s="11">
        <v>0</v>
      </c>
      <c r="U16" s="11">
        <v>0</v>
      </c>
      <c r="V16" s="11">
        <v>0</v>
      </c>
      <c r="W16" s="11">
        <v>0</v>
      </c>
      <c r="X16" s="11">
        <v>3732.78</v>
      </c>
      <c r="Y16" s="11">
        <v>0</v>
      </c>
      <c r="Z16" s="11">
        <v>3732.78</v>
      </c>
      <c r="AA16" s="11">
        <v>2485.4699999999998</v>
      </c>
      <c r="AB16" s="11">
        <v>-810</v>
      </c>
      <c r="AC16" s="11">
        <v>-332.35</v>
      </c>
      <c r="AD16" s="12">
        <v>104.96</v>
      </c>
      <c r="AE16" s="12">
        <v>475.93</v>
      </c>
      <c r="AF16" s="12">
        <v>580.89</v>
      </c>
      <c r="AG16" s="8" t="s">
        <v>130</v>
      </c>
      <c r="AH16" s="8"/>
    </row>
    <row r="17" spans="1:34" x14ac:dyDescent="0.25">
      <c r="A17" s="8" t="s">
        <v>131</v>
      </c>
      <c r="B17" s="8" t="s">
        <v>132</v>
      </c>
      <c r="C17" s="8" t="s">
        <v>133</v>
      </c>
      <c r="D17" s="8">
        <v>8</v>
      </c>
      <c r="E17" s="8">
        <v>3</v>
      </c>
      <c r="F17" s="8">
        <v>0</v>
      </c>
      <c r="G17" s="8">
        <v>0</v>
      </c>
      <c r="H17" s="8">
        <v>2</v>
      </c>
      <c r="I17" s="8">
        <v>0</v>
      </c>
      <c r="J17" s="8">
        <v>1</v>
      </c>
      <c r="K17" s="8">
        <v>2</v>
      </c>
      <c r="L17" s="8">
        <v>6</v>
      </c>
      <c r="M17" s="8">
        <v>24</v>
      </c>
      <c r="N17" s="8">
        <v>0</v>
      </c>
      <c r="O17" s="8">
        <v>0</v>
      </c>
      <c r="P17" s="8">
        <v>16</v>
      </c>
      <c r="Q17" s="8">
        <v>8</v>
      </c>
      <c r="R17" s="9">
        <v>1582.57</v>
      </c>
      <c r="S17" s="10">
        <v>432.28</v>
      </c>
      <c r="T17" s="11">
        <v>0</v>
      </c>
      <c r="U17" s="11">
        <v>0</v>
      </c>
      <c r="V17" s="11">
        <v>432.28</v>
      </c>
      <c r="W17" s="11">
        <v>0</v>
      </c>
      <c r="X17" s="11">
        <v>2014.85</v>
      </c>
      <c r="Y17" s="11">
        <v>0</v>
      </c>
      <c r="Z17" s="11">
        <v>2014.85</v>
      </c>
      <c r="AA17" s="11">
        <v>1436.16</v>
      </c>
      <c r="AB17" s="11">
        <v>-176</v>
      </c>
      <c r="AC17" s="11">
        <v>-332.35</v>
      </c>
      <c r="AD17" s="12">
        <v>70.34</v>
      </c>
      <c r="AE17" s="12">
        <v>256.89</v>
      </c>
      <c r="AF17" s="12">
        <v>327.23</v>
      </c>
      <c r="AG17" s="8" t="s">
        <v>134</v>
      </c>
      <c r="AH17" s="8"/>
    </row>
    <row r="18" spans="1:34" x14ac:dyDescent="0.25">
      <c r="A18" s="8" t="s">
        <v>135</v>
      </c>
      <c r="B18" s="8" t="s">
        <v>136</v>
      </c>
      <c r="C18" s="8" t="s">
        <v>137</v>
      </c>
      <c r="D18" s="8">
        <v>8</v>
      </c>
      <c r="E18" s="8">
        <v>3.97</v>
      </c>
      <c r="F18" s="8">
        <v>0</v>
      </c>
      <c r="G18" s="8">
        <v>0</v>
      </c>
      <c r="H18" s="8">
        <v>1</v>
      </c>
      <c r="I18" s="8">
        <v>0</v>
      </c>
      <c r="J18" s="8">
        <v>2</v>
      </c>
      <c r="K18" s="8">
        <v>1</v>
      </c>
      <c r="L18" s="8">
        <v>6.97</v>
      </c>
      <c r="M18" s="8">
        <v>31.75</v>
      </c>
      <c r="N18" s="8">
        <v>0</v>
      </c>
      <c r="O18" s="8">
        <v>0</v>
      </c>
      <c r="P18" s="8">
        <v>8</v>
      </c>
      <c r="Q18" s="8">
        <v>16</v>
      </c>
      <c r="R18" s="9">
        <v>2146.37</v>
      </c>
      <c r="S18" s="10">
        <v>432.29</v>
      </c>
      <c r="T18" s="11">
        <v>0</v>
      </c>
      <c r="U18" s="11">
        <v>0</v>
      </c>
      <c r="V18" s="11">
        <v>432.29</v>
      </c>
      <c r="W18" s="11">
        <v>0</v>
      </c>
      <c r="X18" s="11">
        <v>2578.66</v>
      </c>
      <c r="Y18" s="11">
        <v>0</v>
      </c>
      <c r="Z18" s="11">
        <v>2578.66</v>
      </c>
      <c r="AA18" s="11">
        <v>1822.94</v>
      </c>
      <c r="AB18" s="11">
        <v>-336</v>
      </c>
      <c r="AC18" s="11">
        <v>-332.35</v>
      </c>
      <c r="AD18" s="12">
        <v>87.37</v>
      </c>
      <c r="AE18" s="12">
        <v>328.78</v>
      </c>
      <c r="AF18" s="12">
        <v>416.15</v>
      </c>
      <c r="AG18" s="8" t="s">
        <v>138</v>
      </c>
      <c r="AH18" s="8"/>
    </row>
    <row r="19" spans="1:34" x14ac:dyDescent="0.25">
      <c r="A19" s="8" t="s">
        <v>139</v>
      </c>
      <c r="B19" s="8" t="s">
        <v>140</v>
      </c>
      <c r="C19" s="8" t="s">
        <v>141</v>
      </c>
      <c r="D19" s="8">
        <v>8</v>
      </c>
      <c r="E19" s="8">
        <v>7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7</v>
      </c>
      <c r="M19" s="8">
        <v>56</v>
      </c>
      <c r="N19" s="8">
        <v>0</v>
      </c>
      <c r="O19" s="8">
        <v>0</v>
      </c>
      <c r="P19" s="8">
        <v>0</v>
      </c>
      <c r="Q19" s="8">
        <v>0</v>
      </c>
      <c r="R19" s="9">
        <v>3200.31</v>
      </c>
      <c r="S19" s="10">
        <v>0</v>
      </c>
      <c r="T19" s="11">
        <v>0</v>
      </c>
      <c r="U19" s="11">
        <v>0</v>
      </c>
      <c r="V19" s="11">
        <v>0</v>
      </c>
      <c r="W19" s="11">
        <v>0</v>
      </c>
      <c r="X19" s="11">
        <v>3200.31</v>
      </c>
      <c r="Y19" s="11">
        <v>0</v>
      </c>
      <c r="Z19" s="11">
        <v>3200.31</v>
      </c>
      <c r="AA19" s="11">
        <v>2194.87</v>
      </c>
      <c r="AB19" s="11">
        <v>-550</v>
      </c>
      <c r="AC19" s="11">
        <v>-332.35</v>
      </c>
      <c r="AD19" s="12">
        <v>123.09</v>
      </c>
      <c r="AE19" s="12">
        <v>408.04</v>
      </c>
      <c r="AF19" s="12">
        <v>531.13</v>
      </c>
      <c r="AG19" s="8" t="s">
        <v>142</v>
      </c>
      <c r="AH19" s="8"/>
    </row>
    <row r="20" spans="1:34" x14ac:dyDescent="0.25">
      <c r="A20" s="8" t="s">
        <v>143</v>
      </c>
      <c r="B20" s="8" t="s">
        <v>144</v>
      </c>
      <c r="C20" s="8" t="s">
        <v>145</v>
      </c>
      <c r="D20" s="8">
        <v>8</v>
      </c>
      <c r="E20" s="8">
        <v>4.9400000000000004</v>
      </c>
      <c r="F20" s="8">
        <v>0</v>
      </c>
      <c r="G20" s="8">
        <v>1</v>
      </c>
      <c r="H20" s="8">
        <v>0</v>
      </c>
      <c r="I20" s="8">
        <v>0</v>
      </c>
      <c r="J20" s="8">
        <v>0</v>
      </c>
      <c r="K20" s="8">
        <v>1</v>
      </c>
      <c r="L20" s="8">
        <v>5.94</v>
      </c>
      <c r="M20" s="8">
        <v>39.5</v>
      </c>
      <c r="N20" s="8">
        <v>0</v>
      </c>
      <c r="O20" s="8">
        <v>8</v>
      </c>
      <c r="P20" s="8">
        <v>0</v>
      </c>
      <c r="Q20" s="8">
        <v>0</v>
      </c>
      <c r="R20" s="9">
        <v>2330.5</v>
      </c>
      <c r="S20" s="10">
        <v>355.69</v>
      </c>
      <c r="T20" s="11">
        <v>0</v>
      </c>
      <c r="U20" s="11">
        <v>355.69</v>
      </c>
      <c r="V20" s="11">
        <v>0</v>
      </c>
      <c r="W20" s="11">
        <v>0</v>
      </c>
      <c r="X20" s="11">
        <v>2677.69</v>
      </c>
      <c r="Y20" s="11">
        <v>479.12</v>
      </c>
      <c r="Z20" s="11">
        <v>3156.81</v>
      </c>
      <c r="AA20" s="11">
        <v>2138.9699999999998</v>
      </c>
      <c r="AB20" s="11">
        <v>-562</v>
      </c>
      <c r="AC20" s="11">
        <v>-332.35</v>
      </c>
      <c r="AD20" s="12">
        <v>123.49</v>
      </c>
      <c r="AE20" s="12">
        <v>402.23</v>
      </c>
      <c r="AF20" s="12">
        <v>525.72</v>
      </c>
      <c r="AG20" s="8" t="s">
        <v>146</v>
      </c>
      <c r="AH20" s="8"/>
    </row>
    <row r="21" spans="1:34" x14ac:dyDescent="0.25">
      <c r="A21" s="8" t="s">
        <v>147</v>
      </c>
      <c r="B21" s="8" t="s">
        <v>148</v>
      </c>
      <c r="C21" s="8" t="s">
        <v>149</v>
      </c>
      <c r="D21" s="8">
        <v>8</v>
      </c>
      <c r="E21" s="8">
        <v>6.88</v>
      </c>
      <c r="F21" s="8">
        <v>0</v>
      </c>
      <c r="G21" s="8">
        <v>0.12</v>
      </c>
      <c r="H21" s="8">
        <v>0</v>
      </c>
      <c r="I21" s="8">
        <v>0</v>
      </c>
      <c r="J21" s="8">
        <v>0</v>
      </c>
      <c r="K21" s="8">
        <v>0.12</v>
      </c>
      <c r="L21" s="8">
        <v>7</v>
      </c>
      <c r="M21" s="8">
        <v>55</v>
      </c>
      <c r="N21" s="8">
        <v>0</v>
      </c>
      <c r="O21" s="8">
        <v>1</v>
      </c>
      <c r="P21" s="8">
        <v>0</v>
      </c>
      <c r="Q21" s="8">
        <v>0</v>
      </c>
      <c r="R21" s="9">
        <v>3192.34</v>
      </c>
      <c r="S21" s="10">
        <v>44.46</v>
      </c>
      <c r="T21" s="11">
        <v>0</v>
      </c>
      <c r="U21" s="11">
        <v>44.46</v>
      </c>
      <c r="V21" s="11">
        <v>0</v>
      </c>
      <c r="W21" s="11">
        <v>0</v>
      </c>
      <c r="X21" s="11">
        <v>3236.8</v>
      </c>
      <c r="Y21" s="11">
        <v>0</v>
      </c>
      <c r="Z21" s="11">
        <v>3236.8</v>
      </c>
      <c r="AA21" s="11">
        <v>2213.96</v>
      </c>
      <c r="AB21" s="11">
        <v>-566</v>
      </c>
      <c r="AC21" s="11">
        <v>-332.35</v>
      </c>
      <c r="AD21" s="12">
        <v>124.49</v>
      </c>
      <c r="AE21" s="12">
        <v>412.69</v>
      </c>
      <c r="AF21" s="12">
        <v>537.17999999999995</v>
      </c>
      <c r="AG21" s="8" t="s">
        <v>150</v>
      </c>
      <c r="AH21" s="8"/>
    </row>
    <row r="22" spans="1:34" x14ac:dyDescent="0.25">
      <c r="A22" s="8" t="s">
        <v>151</v>
      </c>
      <c r="B22" s="8" t="s">
        <v>152</v>
      </c>
      <c r="C22" s="8" t="s">
        <v>153</v>
      </c>
      <c r="D22" s="8">
        <v>7.6</v>
      </c>
      <c r="E22" s="8">
        <v>4.9000000000000004</v>
      </c>
      <c r="F22" s="8">
        <v>0</v>
      </c>
      <c r="G22" s="8">
        <v>0</v>
      </c>
      <c r="H22" s="8">
        <v>0.03</v>
      </c>
      <c r="I22" s="8">
        <v>0</v>
      </c>
      <c r="J22" s="8">
        <v>0</v>
      </c>
      <c r="K22" s="8">
        <v>0.03</v>
      </c>
      <c r="L22" s="8">
        <v>4.93</v>
      </c>
      <c r="M22" s="8">
        <v>37.25</v>
      </c>
      <c r="N22" s="8">
        <v>0</v>
      </c>
      <c r="O22" s="8">
        <v>0</v>
      </c>
      <c r="P22" s="8">
        <v>0.25</v>
      </c>
      <c r="Q22" s="8">
        <v>0</v>
      </c>
      <c r="R22" s="9">
        <v>2340.9</v>
      </c>
      <c r="S22" s="10">
        <v>13.67</v>
      </c>
      <c r="T22" s="11">
        <v>0</v>
      </c>
      <c r="U22" s="11">
        <v>0</v>
      </c>
      <c r="V22" s="11">
        <v>13.67</v>
      </c>
      <c r="W22" s="11">
        <v>0</v>
      </c>
      <c r="X22" s="11">
        <v>3052.62</v>
      </c>
      <c r="Y22" s="11">
        <v>0</v>
      </c>
      <c r="Z22" s="11">
        <v>3052.62</v>
      </c>
      <c r="AA22" s="11">
        <v>2107.89</v>
      </c>
      <c r="AB22" s="11">
        <v>-472</v>
      </c>
      <c r="AC22" s="11">
        <v>-354.46</v>
      </c>
      <c r="AD22" s="12">
        <v>118.27</v>
      </c>
      <c r="AE22" s="12">
        <v>389.21</v>
      </c>
      <c r="AF22" s="12">
        <v>507.48</v>
      </c>
      <c r="AG22" s="8" t="s">
        <v>154</v>
      </c>
      <c r="AH22" s="8"/>
    </row>
    <row r="23" spans="1:34" x14ac:dyDescent="0.25">
      <c r="A23" s="8" t="s">
        <v>155</v>
      </c>
      <c r="B23" s="8" t="s">
        <v>156</v>
      </c>
      <c r="C23" s="8" t="s">
        <v>157</v>
      </c>
      <c r="D23" s="8">
        <v>7.6</v>
      </c>
      <c r="E23" s="8">
        <v>5.97</v>
      </c>
      <c r="F23" s="8">
        <v>0</v>
      </c>
      <c r="G23" s="8">
        <v>1</v>
      </c>
      <c r="H23" s="8">
        <v>0.03</v>
      </c>
      <c r="I23" s="8">
        <v>0</v>
      </c>
      <c r="J23" s="8">
        <v>0</v>
      </c>
      <c r="K23" s="8">
        <v>1.03</v>
      </c>
      <c r="L23" s="8">
        <v>7</v>
      </c>
      <c r="M23" s="8">
        <v>45.35</v>
      </c>
      <c r="N23" s="8">
        <v>0</v>
      </c>
      <c r="O23" s="8">
        <v>7.6</v>
      </c>
      <c r="P23" s="8">
        <v>0.25</v>
      </c>
      <c r="Q23" s="8">
        <v>0</v>
      </c>
      <c r="R23" s="9">
        <v>3314.62</v>
      </c>
      <c r="S23" s="10">
        <v>351.58</v>
      </c>
      <c r="T23" s="11">
        <v>0</v>
      </c>
      <c r="U23" s="11">
        <v>337.91</v>
      </c>
      <c r="V23" s="11">
        <v>13.67</v>
      </c>
      <c r="W23" s="11">
        <v>0</v>
      </c>
      <c r="X23" s="11">
        <v>3666.2</v>
      </c>
      <c r="Y23" s="11">
        <v>0</v>
      </c>
      <c r="Z23" s="11">
        <v>3666.2</v>
      </c>
      <c r="AA23" s="11">
        <v>2431.4699999999998</v>
      </c>
      <c r="AB23" s="11">
        <v>-762</v>
      </c>
      <c r="AC23" s="11">
        <v>-354.46</v>
      </c>
      <c r="AD23" s="12">
        <v>118.27</v>
      </c>
      <c r="AE23" s="12">
        <v>467.44</v>
      </c>
      <c r="AF23" s="12">
        <v>585.71</v>
      </c>
      <c r="AG23" s="8" t="s">
        <v>158</v>
      </c>
      <c r="AH23" s="8"/>
    </row>
    <row r="24" spans="1:34" x14ac:dyDescent="0.25">
      <c r="A24" s="8" t="s">
        <v>159</v>
      </c>
      <c r="B24" s="8" t="s">
        <v>160</v>
      </c>
      <c r="C24" s="8" t="s">
        <v>161</v>
      </c>
      <c r="D24" s="8">
        <v>8</v>
      </c>
      <c r="E24" s="8">
        <v>6.97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6.97</v>
      </c>
      <c r="M24" s="8">
        <v>55.75</v>
      </c>
      <c r="N24" s="8">
        <v>0</v>
      </c>
      <c r="O24" s="8">
        <v>0</v>
      </c>
      <c r="P24" s="8">
        <v>0</v>
      </c>
      <c r="Q24" s="8">
        <v>0</v>
      </c>
      <c r="R24" s="9">
        <v>3161.48</v>
      </c>
      <c r="S24" s="10">
        <v>0</v>
      </c>
      <c r="T24" s="11">
        <v>0</v>
      </c>
      <c r="U24" s="11">
        <v>0</v>
      </c>
      <c r="V24" s="11">
        <v>0</v>
      </c>
      <c r="W24" s="11">
        <v>0</v>
      </c>
      <c r="X24" s="11">
        <v>3161.23</v>
      </c>
      <c r="Y24" s="11">
        <v>0</v>
      </c>
      <c r="Z24" s="11">
        <v>2619.92</v>
      </c>
      <c r="AA24" s="11">
        <v>2173.4</v>
      </c>
      <c r="AB24" s="11">
        <v>-376</v>
      </c>
      <c r="AC24" s="11">
        <v>-354.46</v>
      </c>
      <c r="AD24" s="12">
        <v>99.37</v>
      </c>
      <c r="AE24" s="12">
        <v>334.04</v>
      </c>
      <c r="AF24" s="12">
        <v>433.41</v>
      </c>
      <c r="AG24" s="8" t="s">
        <v>162</v>
      </c>
      <c r="AH24" s="8"/>
    </row>
    <row r="25" spans="1:34" x14ac:dyDescent="0.25">
      <c r="A25" s="8" t="s">
        <v>163</v>
      </c>
      <c r="B25" s="8" t="s">
        <v>164</v>
      </c>
      <c r="C25" s="8" t="s">
        <v>165</v>
      </c>
      <c r="D25" s="8">
        <v>7.6</v>
      </c>
      <c r="E25" s="8">
        <v>3</v>
      </c>
      <c r="F25" s="8">
        <v>0</v>
      </c>
      <c r="G25" s="8">
        <v>0</v>
      </c>
      <c r="H25" s="8">
        <v>0</v>
      </c>
      <c r="I25" s="8">
        <v>0</v>
      </c>
      <c r="J25" s="8">
        <v>4</v>
      </c>
      <c r="K25" s="8">
        <v>0</v>
      </c>
      <c r="L25" s="8">
        <v>7</v>
      </c>
      <c r="M25" s="8">
        <v>22.8</v>
      </c>
      <c r="N25" s="8">
        <v>0</v>
      </c>
      <c r="O25" s="8">
        <v>0</v>
      </c>
      <c r="P25" s="8">
        <v>0</v>
      </c>
      <c r="Q25" s="8">
        <v>30.4</v>
      </c>
      <c r="R25" s="9">
        <v>1600.62</v>
      </c>
      <c r="S25" s="10">
        <v>0</v>
      </c>
      <c r="T25" s="11">
        <v>0</v>
      </c>
      <c r="U25" s="11">
        <v>0</v>
      </c>
      <c r="V25" s="11">
        <v>0</v>
      </c>
      <c r="W25" s="11">
        <v>0</v>
      </c>
      <c r="X25" s="11">
        <v>1600.62</v>
      </c>
      <c r="Y25" s="11">
        <v>0</v>
      </c>
      <c r="Z25" s="11">
        <v>1228.05</v>
      </c>
      <c r="AA25" s="11">
        <v>1113.99</v>
      </c>
      <c r="AB25" s="11">
        <v>40</v>
      </c>
      <c r="AC25" s="11">
        <v>-354.46</v>
      </c>
      <c r="AD25" s="12">
        <v>32.17</v>
      </c>
      <c r="AE25" s="12">
        <v>156.58000000000001</v>
      </c>
      <c r="AF25" s="12">
        <v>188.75</v>
      </c>
      <c r="AG25" s="8" t="s">
        <v>166</v>
      </c>
      <c r="AH25" s="8"/>
    </row>
    <row r="26" spans="1:34" x14ac:dyDescent="0.25">
      <c r="A26" s="8" t="s">
        <v>167</v>
      </c>
      <c r="B26" s="8" t="s">
        <v>168</v>
      </c>
      <c r="C26" s="8" t="s">
        <v>169</v>
      </c>
      <c r="D26" s="8">
        <v>7.6</v>
      </c>
      <c r="E26" s="8">
        <v>8.9700000000000006</v>
      </c>
      <c r="F26" s="8">
        <v>0</v>
      </c>
      <c r="G26" s="8">
        <v>1</v>
      </c>
      <c r="H26" s="8">
        <v>0</v>
      </c>
      <c r="I26" s="8">
        <v>0</v>
      </c>
      <c r="J26" s="8">
        <v>0</v>
      </c>
      <c r="K26" s="8">
        <v>1</v>
      </c>
      <c r="L26" s="8">
        <v>9.9700000000000006</v>
      </c>
      <c r="M26" s="8">
        <v>68.150000000000006</v>
      </c>
      <c r="N26" s="8">
        <v>0</v>
      </c>
      <c r="O26" s="8">
        <v>7.6</v>
      </c>
      <c r="P26" s="8">
        <v>0</v>
      </c>
      <c r="Q26" s="8">
        <v>0</v>
      </c>
      <c r="R26" s="9">
        <v>3563.61</v>
      </c>
      <c r="S26" s="10">
        <v>337.91</v>
      </c>
      <c r="T26" s="11">
        <v>0</v>
      </c>
      <c r="U26" s="11">
        <v>337.91</v>
      </c>
      <c r="V26" s="11">
        <v>0</v>
      </c>
      <c r="W26" s="11">
        <v>0</v>
      </c>
      <c r="X26" s="11">
        <v>4194.9799999999996</v>
      </c>
      <c r="Y26" s="11">
        <v>227.18</v>
      </c>
      <c r="Z26" s="11">
        <v>4422.16</v>
      </c>
      <c r="AA26" s="11">
        <v>2820.74</v>
      </c>
      <c r="AB26" s="11">
        <v>-1078</v>
      </c>
      <c r="AC26" s="11">
        <v>-354.46</v>
      </c>
      <c r="AD26" s="12">
        <v>168.96</v>
      </c>
      <c r="AE26" s="12">
        <v>563.83000000000004</v>
      </c>
      <c r="AF26" s="12">
        <v>732.79</v>
      </c>
      <c r="AG26" s="8" t="s">
        <v>170</v>
      </c>
      <c r="AH26" s="8"/>
    </row>
    <row r="27" spans="1:34" x14ac:dyDescent="0.25">
      <c r="A27" s="8" t="s">
        <v>171</v>
      </c>
      <c r="B27" s="8" t="s">
        <v>172</v>
      </c>
      <c r="C27" s="8" t="s">
        <v>173</v>
      </c>
      <c r="D27" s="8">
        <v>8</v>
      </c>
      <c r="E27" s="8">
        <v>3</v>
      </c>
      <c r="F27" s="8">
        <v>0</v>
      </c>
      <c r="G27" s="8">
        <v>0.27</v>
      </c>
      <c r="H27" s="8">
        <v>0</v>
      </c>
      <c r="I27" s="8">
        <v>0</v>
      </c>
      <c r="J27" s="8">
        <v>1.74</v>
      </c>
      <c r="K27" s="8">
        <v>0.27</v>
      </c>
      <c r="L27" s="8">
        <v>5</v>
      </c>
      <c r="M27" s="8">
        <v>24</v>
      </c>
      <c r="N27" s="8">
        <v>0</v>
      </c>
      <c r="O27" s="8">
        <v>2.12</v>
      </c>
      <c r="P27" s="8">
        <v>0</v>
      </c>
      <c r="Q27" s="8">
        <v>13.88</v>
      </c>
      <c r="R27" s="9">
        <v>1653.97</v>
      </c>
      <c r="S27" s="10">
        <v>94.26</v>
      </c>
      <c r="T27" s="11">
        <v>0</v>
      </c>
      <c r="U27" s="11">
        <v>94.26</v>
      </c>
      <c r="V27" s="11">
        <v>0</v>
      </c>
      <c r="W27" s="11">
        <v>0</v>
      </c>
      <c r="X27" s="11">
        <v>1748.23</v>
      </c>
      <c r="Y27" s="11">
        <v>0</v>
      </c>
      <c r="Z27" s="11">
        <v>734.5</v>
      </c>
      <c r="AA27" s="11">
        <v>1252.3900000000001</v>
      </c>
      <c r="AB27" s="11">
        <v>342</v>
      </c>
      <c r="AC27" s="11">
        <v>-354.46</v>
      </c>
      <c r="AD27" s="12">
        <v>7.38</v>
      </c>
      <c r="AE27" s="12">
        <v>93.65</v>
      </c>
      <c r="AF27" s="12">
        <v>101.03</v>
      </c>
      <c r="AG27" s="8" t="s">
        <v>174</v>
      </c>
      <c r="AH27" s="8"/>
    </row>
    <row r="28" spans="1:34" x14ac:dyDescent="0.25">
      <c r="A28" s="6" t="s">
        <v>175</v>
      </c>
      <c r="E28" s="6">
        <f t="shared" ref="E28:AF28" si="0">SUM(E2:E27)</f>
        <v>150.88999999999999</v>
      </c>
      <c r="F28" s="6">
        <f t="shared" si="0"/>
        <v>6</v>
      </c>
      <c r="G28" s="6">
        <f t="shared" si="0"/>
        <v>16.299999999999997</v>
      </c>
      <c r="H28" s="6">
        <f t="shared" si="0"/>
        <v>11.11</v>
      </c>
      <c r="I28" s="6">
        <f t="shared" si="0"/>
        <v>0</v>
      </c>
      <c r="J28" s="6">
        <f t="shared" si="0"/>
        <v>34.340000000000003</v>
      </c>
      <c r="K28" s="6">
        <f t="shared" si="0"/>
        <v>33.420000000000009</v>
      </c>
      <c r="L28" s="6">
        <f t="shared" si="0"/>
        <v>218.62</v>
      </c>
      <c r="M28" s="6">
        <f t="shared" si="0"/>
        <v>1163.2600000000002</v>
      </c>
      <c r="N28" s="6">
        <f t="shared" si="0"/>
        <v>45.6</v>
      </c>
      <c r="O28" s="6">
        <f t="shared" si="0"/>
        <v>124.57000000000001</v>
      </c>
      <c r="P28" s="6">
        <f t="shared" si="0"/>
        <v>85.75</v>
      </c>
      <c r="Q28" s="6">
        <f t="shared" si="0"/>
        <v>262.82</v>
      </c>
      <c r="R28" s="13">
        <f t="shared" si="0"/>
        <v>70446.960000000006</v>
      </c>
      <c r="S28" s="13">
        <f t="shared" si="0"/>
        <v>12210.77</v>
      </c>
      <c r="T28" s="13">
        <f t="shared" si="0"/>
        <v>1980.48</v>
      </c>
      <c r="U28" s="13">
        <f t="shared" si="0"/>
        <v>5439.7899999999991</v>
      </c>
      <c r="V28" s="13">
        <f t="shared" si="0"/>
        <v>4790.5</v>
      </c>
      <c r="W28" s="13">
        <f t="shared" si="0"/>
        <v>0</v>
      </c>
      <c r="X28" s="13">
        <f t="shared" si="0"/>
        <v>83875.739999999976</v>
      </c>
      <c r="Y28" s="13">
        <f t="shared" si="0"/>
        <v>836.61000000000013</v>
      </c>
      <c r="Z28" s="13">
        <f t="shared" si="0"/>
        <v>82664.2</v>
      </c>
      <c r="AA28" s="13">
        <f t="shared" si="0"/>
        <v>56573.36</v>
      </c>
      <c r="AB28" s="13">
        <f t="shared" si="0"/>
        <v>-15444</v>
      </c>
      <c r="AC28" s="13">
        <f t="shared" si="0"/>
        <v>-8840.09</v>
      </c>
      <c r="AD28" s="13">
        <f t="shared" si="0"/>
        <v>3050.8999999999996</v>
      </c>
      <c r="AE28" s="13">
        <f t="shared" si="0"/>
        <v>10513.890000000001</v>
      </c>
      <c r="AF28" s="13">
        <f t="shared" si="0"/>
        <v>13564.789999999999</v>
      </c>
    </row>
    <row r="29" spans="1:34" x14ac:dyDescent="0.25">
      <c r="A29" s="6" t="s">
        <v>176</v>
      </c>
      <c r="E29" s="14">
        <f t="shared" ref="E29:AF29" si="1">AVERAGE(E2:E27)</f>
        <v>5.803461538461538</v>
      </c>
      <c r="F29" s="14">
        <f t="shared" si="1"/>
        <v>0.23076923076923078</v>
      </c>
      <c r="G29" s="14">
        <f t="shared" si="1"/>
        <v>0.62692307692307681</v>
      </c>
      <c r="H29" s="14">
        <f t="shared" si="1"/>
        <v>0.42730769230769228</v>
      </c>
      <c r="I29" s="14">
        <f t="shared" si="1"/>
        <v>0</v>
      </c>
      <c r="J29" s="14">
        <f t="shared" si="1"/>
        <v>1.3207692307692309</v>
      </c>
      <c r="K29" s="14">
        <f t="shared" si="1"/>
        <v>1.2853846153846158</v>
      </c>
      <c r="L29" s="14">
        <f t="shared" si="1"/>
        <v>8.4084615384615393</v>
      </c>
      <c r="M29" s="14">
        <f t="shared" si="1"/>
        <v>44.740769230769239</v>
      </c>
      <c r="N29" s="14">
        <f t="shared" si="1"/>
        <v>1.7538461538461538</v>
      </c>
      <c r="O29" s="14">
        <f t="shared" si="1"/>
        <v>4.7911538461538461</v>
      </c>
      <c r="P29" s="14">
        <f t="shared" si="1"/>
        <v>3.2980769230769229</v>
      </c>
      <c r="Q29" s="14">
        <f t="shared" si="1"/>
        <v>10.108461538461539</v>
      </c>
      <c r="R29" s="15">
        <f t="shared" si="1"/>
        <v>2709.4984615384619</v>
      </c>
      <c r="S29" s="15">
        <f t="shared" si="1"/>
        <v>469.64500000000004</v>
      </c>
      <c r="T29" s="15">
        <f t="shared" si="1"/>
        <v>76.172307692307697</v>
      </c>
      <c r="U29" s="15">
        <f t="shared" si="1"/>
        <v>209.22269230769228</v>
      </c>
      <c r="V29" s="15">
        <f t="shared" si="1"/>
        <v>184.25</v>
      </c>
      <c r="W29" s="15">
        <f t="shared" si="1"/>
        <v>0</v>
      </c>
      <c r="X29" s="15">
        <f t="shared" si="1"/>
        <v>3225.9899999999989</v>
      </c>
      <c r="Y29" s="15">
        <f t="shared" si="1"/>
        <v>32.1773076923077</v>
      </c>
      <c r="Z29" s="15">
        <f t="shared" si="1"/>
        <v>3179.3923076923074</v>
      </c>
      <c r="AA29" s="15">
        <f t="shared" si="1"/>
        <v>2175.8984615384616</v>
      </c>
      <c r="AB29" s="15">
        <f t="shared" si="1"/>
        <v>-594</v>
      </c>
      <c r="AC29" s="15">
        <f t="shared" si="1"/>
        <v>-340.00346153846152</v>
      </c>
      <c r="AD29" s="15">
        <f t="shared" si="1"/>
        <v>117.34230769230768</v>
      </c>
      <c r="AE29" s="15">
        <f t="shared" si="1"/>
        <v>404.38038461538468</v>
      </c>
      <c r="AF29" s="15">
        <f t="shared" si="1"/>
        <v>521.72269230769223</v>
      </c>
    </row>
  </sheetData>
  <autoFilter ref="A1:A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3"/>
  <sheetViews>
    <sheetView topLeftCell="A160" workbookViewId="0"/>
  </sheetViews>
  <sheetFormatPr defaultRowHeight="15" x14ac:dyDescent="0.25"/>
  <cols>
    <col min="1" max="1" width="12" customWidth="1"/>
    <col min="2" max="2" width="34" customWidth="1"/>
    <col min="3" max="3" width="54.140625" customWidth="1"/>
    <col min="4" max="4" width="14" customWidth="1"/>
    <col min="5" max="6" width="12" customWidth="1"/>
  </cols>
  <sheetData>
    <row r="1" spans="1:6" x14ac:dyDescent="0.25">
      <c r="A1" s="3" t="s">
        <v>37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</row>
    <row r="2" spans="1:6" x14ac:dyDescent="0.25">
      <c r="A2" t="s">
        <v>71</v>
      </c>
      <c r="B2" t="s">
        <v>74</v>
      </c>
      <c r="C2" t="s">
        <v>182</v>
      </c>
      <c r="D2" t="s">
        <v>183</v>
      </c>
      <c r="E2">
        <v>65.97</v>
      </c>
      <c r="F2" s="16">
        <v>2847.73</v>
      </c>
    </row>
    <row r="3" spans="1:6" x14ac:dyDescent="0.25">
      <c r="A3" t="s">
        <v>71</v>
      </c>
      <c r="B3" t="s">
        <v>74</v>
      </c>
      <c r="C3" t="s">
        <v>184</v>
      </c>
      <c r="D3" t="s">
        <v>185</v>
      </c>
      <c r="E3">
        <v>16</v>
      </c>
      <c r="F3" s="16">
        <v>103.6</v>
      </c>
    </row>
    <row r="4" spans="1:6" x14ac:dyDescent="0.25">
      <c r="A4" t="s">
        <v>71</v>
      </c>
      <c r="B4" t="s">
        <v>74</v>
      </c>
      <c r="C4" t="s">
        <v>186</v>
      </c>
      <c r="D4" t="s">
        <v>185</v>
      </c>
      <c r="E4">
        <v>16</v>
      </c>
      <c r="F4" s="16">
        <v>103.6</v>
      </c>
    </row>
    <row r="5" spans="1:6" x14ac:dyDescent="0.25">
      <c r="A5" t="s">
        <v>71</v>
      </c>
      <c r="B5" t="s">
        <v>74</v>
      </c>
      <c r="C5" t="s">
        <v>187</v>
      </c>
      <c r="D5" t="s">
        <v>185</v>
      </c>
      <c r="E5">
        <v>16</v>
      </c>
      <c r="F5" s="16">
        <v>345.34</v>
      </c>
    </row>
    <row r="6" spans="1:6" x14ac:dyDescent="0.25">
      <c r="A6" t="s">
        <v>71</v>
      </c>
      <c r="B6" t="s">
        <v>74</v>
      </c>
      <c r="C6" t="s">
        <v>188</v>
      </c>
      <c r="D6" t="s">
        <v>185</v>
      </c>
      <c r="E6">
        <v>13.42</v>
      </c>
      <c r="F6" s="16">
        <v>579.30999999999995</v>
      </c>
    </row>
    <row r="7" spans="1:6" x14ac:dyDescent="0.25">
      <c r="A7" t="s">
        <v>71</v>
      </c>
      <c r="B7" t="s">
        <v>74</v>
      </c>
      <c r="C7" t="s">
        <v>189</v>
      </c>
      <c r="D7" t="s">
        <v>190</v>
      </c>
      <c r="E7">
        <v>2.4300000000000002</v>
      </c>
      <c r="F7" s="16">
        <v>104.9</v>
      </c>
    </row>
    <row r="8" spans="1:6" x14ac:dyDescent="0.25">
      <c r="A8" t="s">
        <v>71</v>
      </c>
      <c r="B8" t="s">
        <v>74</v>
      </c>
      <c r="C8" t="s">
        <v>191</v>
      </c>
      <c r="D8" t="s">
        <v>192</v>
      </c>
      <c r="E8">
        <v>7.6</v>
      </c>
      <c r="F8" s="16">
        <v>328.07</v>
      </c>
    </row>
    <row r="9" spans="1:6" x14ac:dyDescent="0.25">
      <c r="A9" t="s">
        <v>75</v>
      </c>
      <c r="B9" t="s">
        <v>78</v>
      </c>
      <c r="C9" t="s">
        <v>193</v>
      </c>
      <c r="D9" t="s">
        <v>183</v>
      </c>
      <c r="E9">
        <v>43.45</v>
      </c>
      <c r="F9" s="16">
        <v>1875.61</v>
      </c>
    </row>
    <row r="10" spans="1:6" x14ac:dyDescent="0.25">
      <c r="A10" t="s">
        <v>75</v>
      </c>
      <c r="B10" t="s">
        <v>78</v>
      </c>
      <c r="C10" t="s">
        <v>194</v>
      </c>
      <c r="D10" t="s">
        <v>185</v>
      </c>
      <c r="E10">
        <v>23.75</v>
      </c>
      <c r="F10" s="16">
        <v>153.78</v>
      </c>
    </row>
    <row r="11" spans="1:6" x14ac:dyDescent="0.25">
      <c r="A11" t="s">
        <v>75</v>
      </c>
      <c r="B11" t="s">
        <v>78</v>
      </c>
      <c r="C11" t="s">
        <v>195</v>
      </c>
      <c r="D11" t="s">
        <v>185</v>
      </c>
      <c r="E11">
        <v>8</v>
      </c>
      <c r="F11" s="16">
        <v>345.34</v>
      </c>
    </row>
    <row r="12" spans="1:6" x14ac:dyDescent="0.25">
      <c r="A12" t="s">
        <v>75</v>
      </c>
      <c r="B12" t="s">
        <v>78</v>
      </c>
      <c r="C12" t="s">
        <v>196</v>
      </c>
      <c r="D12" t="s">
        <v>197</v>
      </c>
      <c r="E12">
        <v>0.25</v>
      </c>
      <c r="F12" s="16">
        <v>10.79</v>
      </c>
    </row>
    <row r="13" spans="1:6" x14ac:dyDescent="0.25">
      <c r="A13" t="s">
        <v>75</v>
      </c>
      <c r="B13" t="s">
        <v>78</v>
      </c>
      <c r="C13" t="s">
        <v>198</v>
      </c>
      <c r="D13" t="s">
        <v>190</v>
      </c>
      <c r="E13">
        <v>15.2</v>
      </c>
      <c r="F13" s="16">
        <v>656.14</v>
      </c>
    </row>
    <row r="14" spans="1:6" x14ac:dyDescent="0.25">
      <c r="A14" t="s">
        <v>75</v>
      </c>
      <c r="B14" t="s">
        <v>78</v>
      </c>
      <c r="C14" t="s">
        <v>199</v>
      </c>
      <c r="D14" t="s">
        <v>200</v>
      </c>
      <c r="F14" s="16">
        <v>160.77000000000001</v>
      </c>
    </row>
    <row r="15" spans="1:6" x14ac:dyDescent="0.25">
      <c r="A15" t="s">
        <v>75</v>
      </c>
      <c r="B15" t="s">
        <v>78</v>
      </c>
      <c r="C15" t="s">
        <v>201</v>
      </c>
      <c r="D15" t="s">
        <v>190</v>
      </c>
      <c r="E15">
        <v>3.67</v>
      </c>
      <c r="F15" s="16">
        <v>158.43</v>
      </c>
    </row>
    <row r="16" spans="1:6" x14ac:dyDescent="0.25">
      <c r="A16" t="s">
        <v>75</v>
      </c>
      <c r="B16" t="s">
        <v>78</v>
      </c>
      <c r="C16" t="s">
        <v>202</v>
      </c>
      <c r="D16" t="s">
        <v>203</v>
      </c>
      <c r="E16">
        <v>13.43</v>
      </c>
      <c r="F16" s="16">
        <v>0</v>
      </c>
    </row>
    <row r="17" spans="1:6" x14ac:dyDescent="0.25">
      <c r="A17" t="s">
        <v>79</v>
      </c>
      <c r="B17" t="s">
        <v>82</v>
      </c>
      <c r="C17" t="s">
        <v>204</v>
      </c>
      <c r="D17" t="s">
        <v>183</v>
      </c>
      <c r="E17">
        <v>42.45</v>
      </c>
      <c r="F17" s="16">
        <v>1832.44</v>
      </c>
    </row>
    <row r="18" spans="1:6" x14ac:dyDescent="0.25">
      <c r="A18" t="s">
        <v>79</v>
      </c>
      <c r="B18" t="s">
        <v>82</v>
      </c>
      <c r="C18" t="s">
        <v>205</v>
      </c>
      <c r="D18" t="s">
        <v>185</v>
      </c>
      <c r="E18">
        <v>23.5</v>
      </c>
      <c r="F18" s="16">
        <v>152.16</v>
      </c>
    </row>
    <row r="19" spans="1:6" x14ac:dyDescent="0.25">
      <c r="A19" t="s">
        <v>79</v>
      </c>
      <c r="B19" t="s">
        <v>82</v>
      </c>
      <c r="C19" t="s">
        <v>206</v>
      </c>
      <c r="D19" t="s">
        <v>185</v>
      </c>
      <c r="E19">
        <v>7.75</v>
      </c>
      <c r="F19" s="16">
        <v>334.55</v>
      </c>
    </row>
    <row r="20" spans="1:6" x14ac:dyDescent="0.25">
      <c r="A20" t="s">
        <v>79</v>
      </c>
      <c r="B20" t="s">
        <v>82</v>
      </c>
      <c r="C20" t="s">
        <v>207</v>
      </c>
      <c r="D20" t="s">
        <v>197</v>
      </c>
      <c r="E20">
        <v>7.6</v>
      </c>
      <c r="F20" s="16">
        <v>328.07</v>
      </c>
    </row>
    <row r="21" spans="1:6" x14ac:dyDescent="0.25">
      <c r="A21" t="s">
        <v>79</v>
      </c>
      <c r="B21" t="s">
        <v>82</v>
      </c>
      <c r="C21" t="s">
        <v>208</v>
      </c>
      <c r="D21" t="s">
        <v>197</v>
      </c>
      <c r="E21">
        <v>2.6</v>
      </c>
      <c r="F21" s="16">
        <v>56.12</v>
      </c>
    </row>
    <row r="22" spans="1:6" x14ac:dyDescent="0.25">
      <c r="A22" t="s">
        <v>79</v>
      </c>
      <c r="B22" t="s">
        <v>82</v>
      </c>
      <c r="C22" t="s">
        <v>209</v>
      </c>
      <c r="D22" t="s">
        <v>200</v>
      </c>
      <c r="F22" s="16">
        <v>79.150000000000006</v>
      </c>
    </row>
    <row r="23" spans="1:6" x14ac:dyDescent="0.25">
      <c r="A23" t="s">
        <v>79</v>
      </c>
      <c r="B23" t="s">
        <v>82</v>
      </c>
      <c r="C23" t="s">
        <v>210</v>
      </c>
      <c r="D23" t="s">
        <v>200</v>
      </c>
      <c r="F23" s="16">
        <v>13.61</v>
      </c>
    </row>
    <row r="24" spans="1:6" x14ac:dyDescent="0.25">
      <c r="A24" t="s">
        <v>79</v>
      </c>
      <c r="B24" t="s">
        <v>82</v>
      </c>
      <c r="C24" t="s">
        <v>211</v>
      </c>
      <c r="D24" t="s">
        <v>203</v>
      </c>
      <c r="E24">
        <v>23.3</v>
      </c>
      <c r="F24" s="16">
        <v>0</v>
      </c>
    </row>
    <row r="25" spans="1:6" x14ac:dyDescent="0.25">
      <c r="A25" t="s">
        <v>83</v>
      </c>
      <c r="B25" t="s">
        <v>86</v>
      </c>
      <c r="C25" t="s">
        <v>212</v>
      </c>
      <c r="D25" t="s">
        <v>183</v>
      </c>
      <c r="E25">
        <v>48.9</v>
      </c>
      <c r="F25" s="16">
        <v>2110.87</v>
      </c>
    </row>
    <row r="26" spans="1:6" x14ac:dyDescent="0.25">
      <c r="A26" t="s">
        <v>83</v>
      </c>
      <c r="B26" t="s">
        <v>86</v>
      </c>
      <c r="C26" t="s">
        <v>186</v>
      </c>
      <c r="D26" t="s">
        <v>185</v>
      </c>
      <c r="E26">
        <v>16</v>
      </c>
      <c r="F26" s="16">
        <v>103.6</v>
      </c>
    </row>
    <row r="27" spans="1:6" x14ac:dyDescent="0.25">
      <c r="A27" t="s">
        <v>83</v>
      </c>
      <c r="B27" t="s">
        <v>86</v>
      </c>
      <c r="C27" t="s">
        <v>187</v>
      </c>
      <c r="D27" t="s">
        <v>185</v>
      </c>
      <c r="E27">
        <v>16</v>
      </c>
      <c r="F27" s="16">
        <v>345.34</v>
      </c>
    </row>
    <row r="28" spans="1:6" x14ac:dyDescent="0.25">
      <c r="A28" t="s">
        <v>83</v>
      </c>
      <c r="B28" t="s">
        <v>86</v>
      </c>
      <c r="C28" t="s">
        <v>213</v>
      </c>
      <c r="D28" t="s">
        <v>185</v>
      </c>
      <c r="E28">
        <v>16</v>
      </c>
      <c r="F28" s="16">
        <v>690.68</v>
      </c>
    </row>
    <row r="29" spans="1:6" x14ac:dyDescent="0.25">
      <c r="A29" t="s">
        <v>83</v>
      </c>
      <c r="B29" t="s">
        <v>86</v>
      </c>
      <c r="C29" t="s">
        <v>214</v>
      </c>
      <c r="D29" t="s">
        <v>190</v>
      </c>
      <c r="E29">
        <v>4.25</v>
      </c>
      <c r="F29" s="16">
        <v>183.46</v>
      </c>
    </row>
    <row r="30" spans="1:6" x14ac:dyDescent="0.25">
      <c r="A30" t="s">
        <v>83</v>
      </c>
      <c r="B30" t="s">
        <v>86</v>
      </c>
      <c r="C30" t="s">
        <v>215</v>
      </c>
      <c r="D30" t="s">
        <v>203</v>
      </c>
      <c r="E30">
        <v>15.2</v>
      </c>
      <c r="F30" s="16">
        <v>0</v>
      </c>
    </row>
    <row r="31" spans="1:6" x14ac:dyDescent="0.25">
      <c r="A31" t="s">
        <v>83</v>
      </c>
      <c r="B31" t="s">
        <v>86</v>
      </c>
      <c r="C31" t="s">
        <v>191</v>
      </c>
      <c r="D31" t="s">
        <v>192</v>
      </c>
      <c r="E31">
        <v>7.6</v>
      </c>
      <c r="F31" s="16">
        <v>328.07</v>
      </c>
    </row>
    <row r="32" spans="1:6" x14ac:dyDescent="0.25">
      <c r="A32" t="s">
        <v>87</v>
      </c>
      <c r="B32" t="s">
        <v>90</v>
      </c>
      <c r="C32" t="s">
        <v>216</v>
      </c>
      <c r="D32" t="s">
        <v>183</v>
      </c>
      <c r="E32">
        <v>28.95</v>
      </c>
      <c r="F32" s="16">
        <v>1249.69</v>
      </c>
    </row>
    <row r="33" spans="1:6" x14ac:dyDescent="0.25">
      <c r="A33" t="s">
        <v>87</v>
      </c>
      <c r="B33" t="s">
        <v>90</v>
      </c>
      <c r="C33" t="s">
        <v>217</v>
      </c>
      <c r="D33" t="s">
        <v>185</v>
      </c>
      <c r="E33">
        <v>8</v>
      </c>
      <c r="F33" s="16">
        <v>172.67</v>
      </c>
    </row>
    <row r="34" spans="1:6" x14ac:dyDescent="0.25">
      <c r="A34" t="s">
        <v>87</v>
      </c>
      <c r="B34" t="s">
        <v>90</v>
      </c>
      <c r="C34" t="s">
        <v>218</v>
      </c>
      <c r="D34" t="s">
        <v>185</v>
      </c>
      <c r="E34">
        <v>7.5</v>
      </c>
      <c r="F34" s="16">
        <v>48.56</v>
      </c>
    </row>
    <row r="35" spans="1:6" x14ac:dyDescent="0.25">
      <c r="A35" t="s">
        <v>87</v>
      </c>
      <c r="B35" t="s">
        <v>90</v>
      </c>
      <c r="C35" t="s">
        <v>219</v>
      </c>
      <c r="D35" t="s">
        <v>185</v>
      </c>
      <c r="E35">
        <v>8</v>
      </c>
      <c r="F35" s="16">
        <v>172.67</v>
      </c>
    </row>
    <row r="36" spans="1:6" x14ac:dyDescent="0.25">
      <c r="A36" t="s">
        <v>87</v>
      </c>
      <c r="B36" t="s">
        <v>90</v>
      </c>
      <c r="C36" t="s">
        <v>220</v>
      </c>
      <c r="D36" t="s">
        <v>185</v>
      </c>
      <c r="E36">
        <v>7</v>
      </c>
      <c r="F36" s="16">
        <v>302.17</v>
      </c>
    </row>
    <row r="37" spans="1:6" x14ac:dyDescent="0.25">
      <c r="A37" t="s">
        <v>87</v>
      </c>
      <c r="B37" t="s">
        <v>90</v>
      </c>
      <c r="C37" t="s">
        <v>221</v>
      </c>
      <c r="D37" t="s">
        <v>203</v>
      </c>
      <c r="E37">
        <v>47</v>
      </c>
      <c r="F37" s="16">
        <v>0</v>
      </c>
    </row>
    <row r="38" spans="1:6" x14ac:dyDescent="0.25">
      <c r="A38" t="s">
        <v>91</v>
      </c>
      <c r="B38" t="s">
        <v>94</v>
      </c>
      <c r="C38" t="s">
        <v>222</v>
      </c>
      <c r="D38" t="s">
        <v>183</v>
      </c>
      <c r="E38">
        <v>34.65</v>
      </c>
      <c r="F38" s="16">
        <v>1495.74</v>
      </c>
    </row>
    <row r="39" spans="1:6" x14ac:dyDescent="0.25">
      <c r="A39" t="s">
        <v>91</v>
      </c>
      <c r="B39" t="s">
        <v>94</v>
      </c>
      <c r="C39" t="s">
        <v>219</v>
      </c>
      <c r="D39" t="s">
        <v>185</v>
      </c>
      <c r="E39">
        <v>8</v>
      </c>
      <c r="F39" s="16">
        <v>172.67</v>
      </c>
    </row>
    <row r="40" spans="1:6" x14ac:dyDescent="0.25">
      <c r="A40" t="s">
        <v>91</v>
      </c>
      <c r="B40" t="s">
        <v>94</v>
      </c>
      <c r="C40" t="s">
        <v>195</v>
      </c>
      <c r="D40" t="s">
        <v>185</v>
      </c>
      <c r="E40">
        <v>8</v>
      </c>
      <c r="F40" s="16">
        <v>345.34</v>
      </c>
    </row>
    <row r="41" spans="1:6" x14ac:dyDescent="0.25">
      <c r="A41" t="s">
        <v>91</v>
      </c>
      <c r="B41" t="s">
        <v>94</v>
      </c>
      <c r="C41" t="s">
        <v>223</v>
      </c>
      <c r="D41" t="s">
        <v>203</v>
      </c>
      <c r="E41">
        <v>33.700000000000003</v>
      </c>
      <c r="F41" s="16">
        <v>0</v>
      </c>
    </row>
    <row r="42" spans="1:6" x14ac:dyDescent="0.25">
      <c r="A42" t="s">
        <v>91</v>
      </c>
      <c r="B42" t="s">
        <v>94</v>
      </c>
      <c r="C42" t="s">
        <v>191</v>
      </c>
      <c r="D42" t="s">
        <v>192</v>
      </c>
      <c r="E42">
        <v>7.6</v>
      </c>
      <c r="F42" s="16">
        <v>328.07</v>
      </c>
    </row>
    <row r="43" spans="1:6" x14ac:dyDescent="0.25">
      <c r="A43" t="s">
        <v>95</v>
      </c>
      <c r="B43" t="s">
        <v>98</v>
      </c>
      <c r="C43" t="s">
        <v>224</v>
      </c>
      <c r="D43" t="s">
        <v>183</v>
      </c>
      <c r="E43">
        <v>15.2</v>
      </c>
      <c r="F43" s="16">
        <v>656.14</v>
      </c>
    </row>
    <row r="44" spans="1:6" x14ac:dyDescent="0.25">
      <c r="A44" t="s">
        <v>95</v>
      </c>
      <c r="B44" t="s">
        <v>98</v>
      </c>
      <c r="C44" t="s">
        <v>184</v>
      </c>
      <c r="D44" t="s">
        <v>185</v>
      </c>
      <c r="E44">
        <v>16</v>
      </c>
      <c r="F44" s="16">
        <v>103.6</v>
      </c>
    </row>
    <row r="45" spans="1:6" x14ac:dyDescent="0.25">
      <c r="A45" t="s">
        <v>95</v>
      </c>
      <c r="B45" t="s">
        <v>98</v>
      </c>
      <c r="C45" t="s">
        <v>225</v>
      </c>
      <c r="D45" t="s">
        <v>190</v>
      </c>
      <c r="E45">
        <v>30.4</v>
      </c>
      <c r="F45" s="16">
        <v>1312.28</v>
      </c>
    </row>
    <row r="46" spans="1:6" x14ac:dyDescent="0.25">
      <c r="A46" t="s">
        <v>95</v>
      </c>
      <c r="B46" t="s">
        <v>98</v>
      </c>
      <c r="C46" t="s">
        <v>226</v>
      </c>
      <c r="D46" t="s">
        <v>200</v>
      </c>
      <c r="F46" s="16">
        <v>316.60000000000002</v>
      </c>
    </row>
    <row r="47" spans="1:6" x14ac:dyDescent="0.25">
      <c r="A47" t="s">
        <v>95</v>
      </c>
      <c r="B47" t="s">
        <v>98</v>
      </c>
      <c r="C47" t="s">
        <v>227</v>
      </c>
      <c r="D47" t="s">
        <v>190</v>
      </c>
      <c r="E47">
        <v>6.52</v>
      </c>
      <c r="F47" s="16">
        <v>281.45</v>
      </c>
    </row>
    <row r="48" spans="1:6" x14ac:dyDescent="0.25">
      <c r="A48" t="s">
        <v>95</v>
      </c>
      <c r="B48" t="s">
        <v>98</v>
      </c>
      <c r="C48" t="s">
        <v>228</v>
      </c>
      <c r="D48" t="s">
        <v>203</v>
      </c>
      <c r="E48">
        <v>23.88</v>
      </c>
      <c r="F48" s="16">
        <v>0</v>
      </c>
    </row>
    <row r="49" spans="1:6" x14ac:dyDescent="0.25">
      <c r="A49" t="s">
        <v>99</v>
      </c>
      <c r="B49" t="s">
        <v>102</v>
      </c>
      <c r="C49" t="s">
        <v>229</v>
      </c>
      <c r="D49" t="s">
        <v>183</v>
      </c>
      <c r="E49">
        <v>68.400000000000006</v>
      </c>
      <c r="F49" s="16">
        <v>2952.63</v>
      </c>
    </row>
    <row r="50" spans="1:6" x14ac:dyDescent="0.25">
      <c r="A50" t="s">
        <v>99</v>
      </c>
      <c r="B50" t="s">
        <v>102</v>
      </c>
      <c r="C50" t="s">
        <v>186</v>
      </c>
      <c r="D50" t="s">
        <v>185</v>
      </c>
      <c r="E50">
        <v>16</v>
      </c>
      <c r="F50" s="16">
        <v>103.6</v>
      </c>
    </row>
    <row r="51" spans="1:6" x14ac:dyDescent="0.25">
      <c r="A51" t="s">
        <v>99</v>
      </c>
      <c r="B51" t="s">
        <v>102</v>
      </c>
      <c r="C51" t="s">
        <v>187</v>
      </c>
      <c r="D51" t="s">
        <v>185</v>
      </c>
      <c r="E51">
        <v>16</v>
      </c>
      <c r="F51" s="16">
        <v>345.34</v>
      </c>
    </row>
    <row r="52" spans="1:6" x14ac:dyDescent="0.25">
      <c r="A52" t="s">
        <v>99</v>
      </c>
      <c r="B52" t="s">
        <v>102</v>
      </c>
      <c r="C52" t="s">
        <v>213</v>
      </c>
      <c r="D52" t="s">
        <v>185</v>
      </c>
      <c r="E52">
        <v>16</v>
      </c>
      <c r="F52" s="16">
        <v>690.68</v>
      </c>
    </row>
    <row r="53" spans="1:6" x14ac:dyDescent="0.25">
      <c r="A53" t="s">
        <v>99</v>
      </c>
      <c r="B53" t="s">
        <v>102</v>
      </c>
      <c r="C53" t="s">
        <v>191</v>
      </c>
      <c r="D53" t="s">
        <v>192</v>
      </c>
      <c r="E53">
        <v>7.6</v>
      </c>
      <c r="F53" s="16">
        <v>328.07</v>
      </c>
    </row>
    <row r="54" spans="1:6" x14ac:dyDescent="0.25">
      <c r="A54" t="s">
        <v>103</v>
      </c>
      <c r="B54" t="s">
        <v>106</v>
      </c>
      <c r="C54" t="s">
        <v>230</v>
      </c>
      <c r="D54" t="s">
        <v>183</v>
      </c>
      <c r="E54">
        <v>52.95</v>
      </c>
      <c r="F54" s="16">
        <v>2327.71</v>
      </c>
    </row>
    <row r="55" spans="1:6" x14ac:dyDescent="0.25">
      <c r="A55" t="s">
        <v>103</v>
      </c>
      <c r="B55" t="s">
        <v>106</v>
      </c>
      <c r="C55" t="s">
        <v>231</v>
      </c>
      <c r="D55" t="s">
        <v>185</v>
      </c>
      <c r="E55">
        <v>8</v>
      </c>
      <c r="F55" s="16">
        <v>52.75</v>
      </c>
    </row>
    <row r="56" spans="1:6" x14ac:dyDescent="0.25">
      <c r="A56" t="s">
        <v>103</v>
      </c>
      <c r="B56" t="s">
        <v>106</v>
      </c>
      <c r="C56" t="s">
        <v>232</v>
      </c>
      <c r="D56" t="s">
        <v>185</v>
      </c>
      <c r="E56">
        <v>16</v>
      </c>
      <c r="F56" s="16">
        <v>105.5</v>
      </c>
    </row>
    <row r="57" spans="1:6" x14ac:dyDescent="0.25">
      <c r="A57" t="s">
        <v>103</v>
      </c>
      <c r="B57" t="s">
        <v>106</v>
      </c>
      <c r="C57" t="s">
        <v>233</v>
      </c>
      <c r="D57" t="s">
        <v>185</v>
      </c>
      <c r="E57">
        <v>8</v>
      </c>
      <c r="F57" s="16">
        <v>175.84</v>
      </c>
    </row>
    <row r="58" spans="1:6" x14ac:dyDescent="0.25">
      <c r="A58" t="s">
        <v>103</v>
      </c>
      <c r="B58" t="s">
        <v>106</v>
      </c>
      <c r="C58" t="s">
        <v>234</v>
      </c>
      <c r="D58" t="s">
        <v>185</v>
      </c>
      <c r="E58">
        <v>8</v>
      </c>
      <c r="F58" s="16">
        <v>351.68</v>
      </c>
    </row>
    <row r="59" spans="1:6" x14ac:dyDescent="0.25">
      <c r="A59" t="s">
        <v>103</v>
      </c>
      <c r="B59" t="s">
        <v>106</v>
      </c>
      <c r="C59" t="s">
        <v>235</v>
      </c>
      <c r="D59" t="s">
        <v>190</v>
      </c>
      <c r="E59">
        <v>15.2</v>
      </c>
      <c r="F59" s="16">
        <v>668.2</v>
      </c>
    </row>
    <row r="60" spans="1:6" x14ac:dyDescent="0.25">
      <c r="A60" t="s">
        <v>103</v>
      </c>
      <c r="B60" t="s">
        <v>106</v>
      </c>
      <c r="C60" t="s">
        <v>236</v>
      </c>
      <c r="D60" t="s">
        <v>200</v>
      </c>
      <c r="F60" s="16">
        <v>161.22</v>
      </c>
    </row>
    <row r="61" spans="1:6" x14ac:dyDescent="0.25">
      <c r="A61" t="s">
        <v>103</v>
      </c>
      <c r="B61" t="s">
        <v>106</v>
      </c>
      <c r="C61" t="s">
        <v>237</v>
      </c>
      <c r="D61" t="s">
        <v>190</v>
      </c>
      <c r="E61">
        <v>0.25</v>
      </c>
      <c r="F61" s="16">
        <v>10.99</v>
      </c>
    </row>
    <row r="62" spans="1:6" x14ac:dyDescent="0.25">
      <c r="A62" t="s">
        <v>103</v>
      </c>
      <c r="B62" t="s">
        <v>106</v>
      </c>
      <c r="C62" t="s">
        <v>238</v>
      </c>
      <c r="D62" t="s">
        <v>192</v>
      </c>
      <c r="E62">
        <v>7.6</v>
      </c>
      <c r="F62" s="16">
        <v>334.1</v>
      </c>
    </row>
    <row r="63" spans="1:6" x14ac:dyDescent="0.25">
      <c r="A63" t="s">
        <v>107</v>
      </c>
      <c r="B63" t="s">
        <v>110</v>
      </c>
      <c r="C63" t="s">
        <v>239</v>
      </c>
      <c r="D63" t="s">
        <v>183</v>
      </c>
      <c r="E63">
        <v>45.35</v>
      </c>
      <c r="F63" s="16">
        <v>1993.61</v>
      </c>
    </row>
    <row r="64" spans="1:6" x14ac:dyDescent="0.25">
      <c r="A64" t="s">
        <v>107</v>
      </c>
      <c r="B64" t="s">
        <v>110</v>
      </c>
      <c r="C64" t="s">
        <v>233</v>
      </c>
      <c r="D64" t="s">
        <v>185</v>
      </c>
      <c r="E64">
        <v>8</v>
      </c>
      <c r="F64" s="16">
        <v>175.84</v>
      </c>
    </row>
    <row r="65" spans="1:6" x14ac:dyDescent="0.25">
      <c r="A65" t="s">
        <v>107</v>
      </c>
      <c r="B65" t="s">
        <v>110</v>
      </c>
      <c r="C65" t="s">
        <v>240</v>
      </c>
      <c r="D65" t="s">
        <v>185</v>
      </c>
      <c r="E65">
        <v>7.75</v>
      </c>
      <c r="F65" s="16">
        <v>340.69</v>
      </c>
    </row>
    <row r="66" spans="1:6" x14ac:dyDescent="0.25">
      <c r="A66" t="s">
        <v>107</v>
      </c>
      <c r="B66" t="s">
        <v>110</v>
      </c>
      <c r="C66" t="s">
        <v>237</v>
      </c>
      <c r="D66" t="s">
        <v>190</v>
      </c>
      <c r="E66">
        <v>0.25</v>
      </c>
      <c r="F66" s="16">
        <v>10.99</v>
      </c>
    </row>
    <row r="67" spans="1:6" x14ac:dyDescent="0.25">
      <c r="A67" t="s">
        <v>107</v>
      </c>
      <c r="B67" t="s">
        <v>110</v>
      </c>
      <c r="C67" t="s">
        <v>241</v>
      </c>
      <c r="D67" t="s">
        <v>203</v>
      </c>
      <c r="E67">
        <v>30.4</v>
      </c>
      <c r="F67" s="16">
        <v>0</v>
      </c>
    </row>
    <row r="68" spans="1:6" x14ac:dyDescent="0.25">
      <c r="A68" t="s">
        <v>111</v>
      </c>
      <c r="B68" t="s">
        <v>114</v>
      </c>
      <c r="C68" t="s">
        <v>242</v>
      </c>
      <c r="D68" t="s">
        <v>183</v>
      </c>
      <c r="E68">
        <v>66.95</v>
      </c>
      <c r="F68" s="16">
        <v>2943.16</v>
      </c>
    </row>
    <row r="69" spans="1:6" x14ac:dyDescent="0.25">
      <c r="A69" t="s">
        <v>111</v>
      </c>
      <c r="B69" t="s">
        <v>114</v>
      </c>
      <c r="C69" t="s">
        <v>243</v>
      </c>
      <c r="D69" t="s">
        <v>185</v>
      </c>
      <c r="E69">
        <v>16</v>
      </c>
      <c r="F69" s="16">
        <v>105.5</v>
      </c>
    </row>
    <row r="70" spans="1:6" x14ac:dyDescent="0.25">
      <c r="A70" t="s">
        <v>111</v>
      </c>
      <c r="B70" t="s">
        <v>114</v>
      </c>
      <c r="C70" t="s">
        <v>244</v>
      </c>
      <c r="D70" t="s">
        <v>185</v>
      </c>
      <c r="E70">
        <v>22.5</v>
      </c>
      <c r="F70" s="16">
        <v>148.36000000000001</v>
      </c>
    </row>
    <row r="71" spans="1:6" x14ac:dyDescent="0.25">
      <c r="A71" t="s">
        <v>111</v>
      </c>
      <c r="B71" t="s">
        <v>114</v>
      </c>
      <c r="C71" t="s">
        <v>233</v>
      </c>
      <c r="D71" t="s">
        <v>185</v>
      </c>
      <c r="E71">
        <v>8</v>
      </c>
      <c r="F71" s="16">
        <v>175.84</v>
      </c>
    </row>
    <row r="72" spans="1:6" x14ac:dyDescent="0.25">
      <c r="A72" t="s">
        <v>111</v>
      </c>
      <c r="B72" t="s">
        <v>114</v>
      </c>
      <c r="C72" t="s">
        <v>234</v>
      </c>
      <c r="D72" t="s">
        <v>185</v>
      </c>
      <c r="E72">
        <v>8</v>
      </c>
      <c r="F72" s="16">
        <v>351.68</v>
      </c>
    </row>
    <row r="73" spans="1:6" x14ac:dyDescent="0.25">
      <c r="A73" t="s">
        <v>111</v>
      </c>
      <c r="B73" t="s">
        <v>114</v>
      </c>
      <c r="C73" t="s">
        <v>245</v>
      </c>
      <c r="D73" t="s">
        <v>190</v>
      </c>
      <c r="E73">
        <v>1.4</v>
      </c>
      <c r="F73" s="16">
        <v>61.54</v>
      </c>
    </row>
    <row r="74" spans="1:6" x14ac:dyDescent="0.25">
      <c r="A74" t="s">
        <v>115</v>
      </c>
      <c r="B74" t="s">
        <v>118</v>
      </c>
      <c r="C74" t="s">
        <v>246</v>
      </c>
      <c r="D74" t="s">
        <v>183</v>
      </c>
      <c r="E74">
        <v>58.69</v>
      </c>
      <c r="F74" s="16">
        <v>2580.04</v>
      </c>
    </row>
    <row r="75" spans="1:6" x14ac:dyDescent="0.25">
      <c r="A75" t="s">
        <v>115</v>
      </c>
      <c r="B75" t="s">
        <v>118</v>
      </c>
      <c r="C75" t="s">
        <v>247</v>
      </c>
      <c r="D75" t="s">
        <v>185</v>
      </c>
      <c r="E75">
        <v>31.67</v>
      </c>
      <c r="F75" s="16">
        <v>208.83</v>
      </c>
    </row>
    <row r="76" spans="1:6" x14ac:dyDescent="0.25">
      <c r="A76" t="s">
        <v>115</v>
      </c>
      <c r="B76" t="s">
        <v>118</v>
      </c>
      <c r="C76" t="s">
        <v>233</v>
      </c>
      <c r="D76" t="s">
        <v>185</v>
      </c>
      <c r="E76">
        <v>8</v>
      </c>
      <c r="F76" s="16">
        <v>175.84</v>
      </c>
    </row>
    <row r="77" spans="1:6" x14ac:dyDescent="0.25">
      <c r="A77" t="s">
        <v>115</v>
      </c>
      <c r="B77" t="s">
        <v>118</v>
      </c>
      <c r="C77" t="s">
        <v>234</v>
      </c>
      <c r="D77" t="s">
        <v>185</v>
      </c>
      <c r="E77">
        <v>8</v>
      </c>
      <c r="F77" s="16">
        <v>351.68</v>
      </c>
    </row>
    <row r="78" spans="1:6" x14ac:dyDescent="0.25">
      <c r="A78" t="s">
        <v>115</v>
      </c>
      <c r="B78" t="s">
        <v>118</v>
      </c>
      <c r="C78" t="s">
        <v>248</v>
      </c>
      <c r="D78" t="s">
        <v>197</v>
      </c>
      <c r="E78">
        <v>1.4</v>
      </c>
      <c r="F78" s="16">
        <v>61.54</v>
      </c>
    </row>
    <row r="79" spans="1:6" x14ac:dyDescent="0.25">
      <c r="A79" t="s">
        <v>115</v>
      </c>
      <c r="B79" t="s">
        <v>118</v>
      </c>
      <c r="C79" t="s">
        <v>249</v>
      </c>
      <c r="D79" t="s">
        <v>200</v>
      </c>
      <c r="F79" s="16">
        <v>15.11</v>
      </c>
    </row>
    <row r="80" spans="1:6" x14ac:dyDescent="0.25">
      <c r="A80" t="s">
        <v>115</v>
      </c>
      <c r="B80" t="s">
        <v>118</v>
      </c>
      <c r="C80" t="s">
        <v>250</v>
      </c>
      <c r="D80" t="s">
        <v>190</v>
      </c>
      <c r="E80">
        <v>13.45</v>
      </c>
      <c r="F80" s="16">
        <v>591.27</v>
      </c>
    </row>
    <row r="81" spans="1:6" x14ac:dyDescent="0.25">
      <c r="A81" t="s">
        <v>115</v>
      </c>
      <c r="B81" t="s">
        <v>118</v>
      </c>
      <c r="C81" t="s">
        <v>251</v>
      </c>
      <c r="D81" t="s">
        <v>203</v>
      </c>
      <c r="E81">
        <v>2.41</v>
      </c>
      <c r="F81" s="16">
        <v>0</v>
      </c>
    </row>
    <row r="82" spans="1:6" x14ac:dyDescent="0.25">
      <c r="A82" t="s">
        <v>119</v>
      </c>
      <c r="B82" t="s">
        <v>122</v>
      </c>
      <c r="C82" t="s">
        <v>252</v>
      </c>
      <c r="D82" t="s">
        <v>183</v>
      </c>
      <c r="E82">
        <v>48.45</v>
      </c>
      <c r="F82" s="16">
        <v>2129.89</v>
      </c>
    </row>
    <row r="83" spans="1:6" x14ac:dyDescent="0.25">
      <c r="A83" t="s">
        <v>119</v>
      </c>
      <c r="B83" t="s">
        <v>122</v>
      </c>
      <c r="C83" t="s">
        <v>232</v>
      </c>
      <c r="D83" t="s">
        <v>185</v>
      </c>
      <c r="E83">
        <v>16</v>
      </c>
      <c r="F83" s="16">
        <v>105.5</v>
      </c>
    </row>
    <row r="84" spans="1:6" x14ac:dyDescent="0.25">
      <c r="A84" t="s">
        <v>119</v>
      </c>
      <c r="B84" t="s">
        <v>122</v>
      </c>
      <c r="C84" t="s">
        <v>253</v>
      </c>
      <c r="D84" t="s">
        <v>185</v>
      </c>
      <c r="E84">
        <v>7</v>
      </c>
      <c r="F84" s="16">
        <v>153.86000000000001</v>
      </c>
    </row>
    <row r="85" spans="1:6" x14ac:dyDescent="0.25">
      <c r="A85" t="s">
        <v>119</v>
      </c>
      <c r="B85" t="s">
        <v>122</v>
      </c>
      <c r="C85" t="s">
        <v>254</v>
      </c>
      <c r="D85" t="s">
        <v>185</v>
      </c>
      <c r="E85">
        <v>16</v>
      </c>
      <c r="F85" s="16">
        <v>703.36</v>
      </c>
    </row>
    <row r="86" spans="1:6" x14ac:dyDescent="0.25">
      <c r="A86" t="s">
        <v>119</v>
      </c>
      <c r="B86" t="s">
        <v>122</v>
      </c>
      <c r="C86" t="s">
        <v>255</v>
      </c>
      <c r="D86" t="s">
        <v>197</v>
      </c>
      <c r="E86">
        <v>19</v>
      </c>
      <c r="F86" s="16">
        <v>835.25</v>
      </c>
    </row>
    <row r="87" spans="1:6" x14ac:dyDescent="0.25">
      <c r="A87" t="s">
        <v>119</v>
      </c>
      <c r="B87" t="s">
        <v>122</v>
      </c>
      <c r="C87" t="s">
        <v>256</v>
      </c>
      <c r="D87" t="s">
        <v>200</v>
      </c>
      <c r="F87" s="16">
        <v>201.52</v>
      </c>
    </row>
    <row r="88" spans="1:6" x14ac:dyDescent="0.25">
      <c r="A88" t="s">
        <v>119</v>
      </c>
      <c r="B88" t="s">
        <v>122</v>
      </c>
      <c r="C88" t="s">
        <v>257</v>
      </c>
      <c r="D88" t="s">
        <v>190</v>
      </c>
      <c r="E88">
        <v>0.95</v>
      </c>
      <c r="F88" s="16">
        <v>41.76</v>
      </c>
    </row>
    <row r="89" spans="1:6" x14ac:dyDescent="0.25">
      <c r="A89" t="s">
        <v>119</v>
      </c>
      <c r="B89" t="s">
        <v>122</v>
      </c>
      <c r="C89" t="s">
        <v>238</v>
      </c>
      <c r="D89" t="s">
        <v>192</v>
      </c>
      <c r="E89">
        <v>7.6</v>
      </c>
      <c r="F89" s="16">
        <v>334.1</v>
      </c>
    </row>
    <row r="90" spans="1:6" x14ac:dyDescent="0.25">
      <c r="A90" t="s">
        <v>123</v>
      </c>
      <c r="B90" t="s">
        <v>126</v>
      </c>
      <c r="C90" t="s">
        <v>258</v>
      </c>
      <c r="D90" t="s">
        <v>183</v>
      </c>
      <c r="E90">
        <v>35.6</v>
      </c>
      <c r="F90" s="16">
        <v>1564.99</v>
      </c>
    </row>
    <row r="91" spans="1:6" x14ac:dyDescent="0.25">
      <c r="A91" t="s">
        <v>123</v>
      </c>
      <c r="B91" t="s">
        <v>126</v>
      </c>
      <c r="C91" t="s">
        <v>259</v>
      </c>
      <c r="D91" t="s">
        <v>185</v>
      </c>
      <c r="E91">
        <v>21.5</v>
      </c>
      <c r="F91" s="16">
        <v>141.77000000000001</v>
      </c>
    </row>
    <row r="92" spans="1:6" x14ac:dyDescent="0.25">
      <c r="A92" t="s">
        <v>123</v>
      </c>
      <c r="B92" t="s">
        <v>126</v>
      </c>
      <c r="C92" t="s">
        <v>233</v>
      </c>
      <c r="D92" t="s">
        <v>185</v>
      </c>
      <c r="E92">
        <v>8</v>
      </c>
      <c r="F92" s="16">
        <v>175.84</v>
      </c>
    </row>
    <row r="93" spans="1:6" x14ac:dyDescent="0.25">
      <c r="A93" t="s">
        <v>123</v>
      </c>
      <c r="B93" t="s">
        <v>126</v>
      </c>
      <c r="C93" t="s">
        <v>234</v>
      </c>
      <c r="D93" t="s">
        <v>185</v>
      </c>
      <c r="E93">
        <v>8</v>
      </c>
      <c r="F93" s="16">
        <v>351.68</v>
      </c>
    </row>
    <row r="94" spans="1:6" x14ac:dyDescent="0.25">
      <c r="A94" t="s">
        <v>123</v>
      </c>
      <c r="B94" t="s">
        <v>126</v>
      </c>
      <c r="C94" t="s">
        <v>260</v>
      </c>
      <c r="D94" t="s">
        <v>197</v>
      </c>
      <c r="E94">
        <v>30.4</v>
      </c>
      <c r="F94" s="16">
        <v>1336.4</v>
      </c>
    </row>
    <row r="95" spans="1:6" x14ac:dyDescent="0.25">
      <c r="A95" t="s">
        <v>123</v>
      </c>
      <c r="B95" t="s">
        <v>126</v>
      </c>
      <c r="C95" t="s">
        <v>261</v>
      </c>
      <c r="D95" t="s">
        <v>200</v>
      </c>
      <c r="F95" s="16">
        <v>322.44</v>
      </c>
    </row>
    <row r="96" spans="1:6" x14ac:dyDescent="0.25">
      <c r="A96" t="s">
        <v>123</v>
      </c>
      <c r="B96" t="s">
        <v>126</v>
      </c>
      <c r="C96" t="s">
        <v>262</v>
      </c>
      <c r="D96" t="s">
        <v>190</v>
      </c>
      <c r="E96">
        <v>4.28</v>
      </c>
      <c r="F96" s="16">
        <v>188.15</v>
      </c>
    </row>
    <row r="97" spans="1:6" x14ac:dyDescent="0.25">
      <c r="A97" t="s">
        <v>123</v>
      </c>
      <c r="B97" t="s">
        <v>126</v>
      </c>
      <c r="C97" t="s">
        <v>263</v>
      </c>
      <c r="D97" t="s">
        <v>203</v>
      </c>
      <c r="E97">
        <v>5.22</v>
      </c>
      <c r="F97" s="16">
        <v>0</v>
      </c>
    </row>
    <row r="98" spans="1:6" x14ac:dyDescent="0.25">
      <c r="A98" t="s">
        <v>127</v>
      </c>
      <c r="B98" t="s">
        <v>130</v>
      </c>
      <c r="C98" t="s">
        <v>264</v>
      </c>
      <c r="D98" t="s">
        <v>183</v>
      </c>
      <c r="E98">
        <v>47.75</v>
      </c>
      <c r="F98" s="16">
        <v>2099.11</v>
      </c>
    </row>
    <row r="99" spans="1:6" x14ac:dyDescent="0.25">
      <c r="A99" t="s">
        <v>127</v>
      </c>
      <c r="B99" t="s">
        <v>130</v>
      </c>
      <c r="C99" t="s">
        <v>265</v>
      </c>
      <c r="D99" t="s">
        <v>185</v>
      </c>
      <c r="E99">
        <v>8</v>
      </c>
      <c r="F99" s="16">
        <v>527.53</v>
      </c>
    </row>
    <row r="100" spans="1:6" x14ac:dyDescent="0.25">
      <c r="A100" t="s">
        <v>127</v>
      </c>
      <c r="B100" t="s">
        <v>130</v>
      </c>
      <c r="C100" t="s">
        <v>266</v>
      </c>
      <c r="D100" t="s">
        <v>185</v>
      </c>
      <c r="E100">
        <v>7.75</v>
      </c>
      <c r="F100" s="16">
        <v>51.1</v>
      </c>
    </row>
    <row r="101" spans="1:6" x14ac:dyDescent="0.25">
      <c r="A101" t="s">
        <v>127</v>
      </c>
      <c r="B101" t="s">
        <v>130</v>
      </c>
      <c r="C101" t="s">
        <v>267</v>
      </c>
      <c r="D101" t="s">
        <v>185</v>
      </c>
      <c r="E101">
        <v>16</v>
      </c>
      <c r="F101" s="16">
        <v>351.68</v>
      </c>
    </row>
    <row r="102" spans="1:6" x14ac:dyDescent="0.25">
      <c r="A102" t="s">
        <v>127</v>
      </c>
      <c r="B102" t="s">
        <v>130</v>
      </c>
      <c r="C102" t="s">
        <v>254</v>
      </c>
      <c r="D102" t="s">
        <v>185</v>
      </c>
      <c r="E102">
        <v>16</v>
      </c>
      <c r="F102" s="16">
        <v>703.36</v>
      </c>
    </row>
    <row r="103" spans="1:6" x14ac:dyDescent="0.25">
      <c r="A103" t="s">
        <v>131</v>
      </c>
      <c r="B103" t="s">
        <v>134</v>
      </c>
      <c r="C103" t="s">
        <v>268</v>
      </c>
      <c r="D103" t="s">
        <v>183</v>
      </c>
      <c r="E103">
        <v>24</v>
      </c>
      <c r="F103" s="16">
        <v>1055.05</v>
      </c>
    </row>
    <row r="104" spans="1:6" x14ac:dyDescent="0.25">
      <c r="A104" t="s">
        <v>131</v>
      </c>
      <c r="B104" t="s">
        <v>134</v>
      </c>
      <c r="C104" t="s">
        <v>233</v>
      </c>
      <c r="D104" t="s">
        <v>185</v>
      </c>
      <c r="E104">
        <v>8</v>
      </c>
      <c r="F104" s="16">
        <v>175.84</v>
      </c>
    </row>
    <row r="105" spans="1:6" x14ac:dyDescent="0.25">
      <c r="A105" t="s">
        <v>131</v>
      </c>
      <c r="B105" t="s">
        <v>134</v>
      </c>
      <c r="C105" t="s">
        <v>234</v>
      </c>
      <c r="D105" t="s">
        <v>185</v>
      </c>
      <c r="E105">
        <v>8</v>
      </c>
      <c r="F105" s="16">
        <v>351.68</v>
      </c>
    </row>
    <row r="106" spans="1:6" x14ac:dyDescent="0.25">
      <c r="A106" t="s">
        <v>131</v>
      </c>
      <c r="B106" t="s">
        <v>134</v>
      </c>
      <c r="C106" t="s">
        <v>269</v>
      </c>
      <c r="D106" t="s">
        <v>197</v>
      </c>
      <c r="E106">
        <v>16</v>
      </c>
      <c r="F106" s="16">
        <v>351.68</v>
      </c>
    </row>
    <row r="107" spans="1:6" x14ac:dyDescent="0.25">
      <c r="A107" t="s">
        <v>131</v>
      </c>
      <c r="B107" t="s">
        <v>134</v>
      </c>
      <c r="C107" t="s">
        <v>270</v>
      </c>
      <c r="D107" t="s">
        <v>200</v>
      </c>
      <c r="F107" s="16">
        <v>80.599999999999994</v>
      </c>
    </row>
    <row r="108" spans="1:6" x14ac:dyDescent="0.25">
      <c r="A108" t="s">
        <v>131</v>
      </c>
      <c r="B108" t="s">
        <v>134</v>
      </c>
      <c r="C108" t="s">
        <v>271</v>
      </c>
      <c r="D108" t="s">
        <v>203</v>
      </c>
      <c r="E108">
        <v>8</v>
      </c>
      <c r="F108" s="16">
        <v>0</v>
      </c>
    </row>
    <row r="109" spans="1:6" x14ac:dyDescent="0.25">
      <c r="A109" t="s">
        <v>135</v>
      </c>
      <c r="B109" t="s">
        <v>138</v>
      </c>
      <c r="C109" t="s">
        <v>272</v>
      </c>
      <c r="D109" t="s">
        <v>183</v>
      </c>
      <c r="E109">
        <v>31.75</v>
      </c>
      <c r="F109" s="16">
        <v>1395.75</v>
      </c>
    </row>
    <row r="110" spans="1:6" x14ac:dyDescent="0.25">
      <c r="A110" t="s">
        <v>135</v>
      </c>
      <c r="B110" t="s">
        <v>138</v>
      </c>
      <c r="C110" t="s">
        <v>273</v>
      </c>
      <c r="D110" t="s">
        <v>185</v>
      </c>
      <c r="E110">
        <v>7.75</v>
      </c>
      <c r="F110" s="16">
        <v>170.35</v>
      </c>
    </row>
    <row r="111" spans="1:6" x14ac:dyDescent="0.25">
      <c r="A111" t="s">
        <v>135</v>
      </c>
      <c r="B111" t="s">
        <v>138</v>
      </c>
      <c r="C111" t="s">
        <v>231</v>
      </c>
      <c r="D111" t="s">
        <v>185</v>
      </c>
      <c r="E111">
        <v>8</v>
      </c>
      <c r="F111" s="16">
        <v>52.75</v>
      </c>
    </row>
    <row r="112" spans="1:6" x14ac:dyDescent="0.25">
      <c r="A112" t="s">
        <v>135</v>
      </c>
      <c r="B112" t="s">
        <v>138</v>
      </c>
      <c r="C112" t="s">
        <v>233</v>
      </c>
      <c r="D112" t="s">
        <v>185</v>
      </c>
      <c r="E112">
        <v>8</v>
      </c>
      <c r="F112" s="16">
        <v>175.84</v>
      </c>
    </row>
    <row r="113" spans="1:6" x14ac:dyDescent="0.25">
      <c r="A113" t="s">
        <v>135</v>
      </c>
      <c r="B113" t="s">
        <v>138</v>
      </c>
      <c r="C113" t="s">
        <v>234</v>
      </c>
      <c r="D113" t="s">
        <v>185</v>
      </c>
      <c r="E113">
        <v>8</v>
      </c>
      <c r="F113" s="16">
        <v>351.68</v>
      </c>
    </row>
    <row r="114" spans="1:6" x14ac:dyDescent="0.25">
      <c r="A114" t="s">
        <v>135</v>
      </c>
      <c r="B114" t="s">
        <v>138</v>
      </c>
      <c r="C114" t="s">
        <v>274</v>
      </c>
      <c r="D114" t="s">
        <v>197</v>
      </c>
      <c r="E114">
        <v>8</v>
      </c>
      <c r="F114" s="16">
        <v>351.68</v>
      </c>
    </row>
    <row r="115" spans="1:6" x14ac:dyDescent="0.25">
      <c r="A115" t="s">
        <v>135</v>
      </c>
      <c r="B115" t="s">
        <v>138</v>
      </c>
      <c r="C115" t="s">
        <v>275</v>
      </c>
      <c r="D115" t="s">
        <v>200</v>
      </c>
      <c r="F115" s="16">
        <v>80.61</v>
      </c>
    </row>
    <row r="116" spans="1:6" x14ac:dyDescent="0.25">
      <c r="A116" t="s">
        <v>135</v>
      </c>
      <c r="B116" t="s">
        <v>138</v>
      </c>
      <c r="C116" t="s">
        <v>276</v>
      </c>
      <c r="D116" t="s">
        <v>203</v>
      </c>
      <c r="E116">
        <v>16</v>
      </c>
      <c r="F116" s="16">
        <v>0</v>
      </c>
    </row>
    <row r="117" spans="1:6" x14ac:dyDescent="0.25">
      <c r="A117" t="s">
        <v>139</v>
      </c>
      <c r="B117" t="s">
        <v>142</v>
      </c>
      <c r="C117" t="s">
        <v>277</v>
      </c>
      <c r="D117" t="s">
        <v>183</v>
      </c>
      <c r="E117">
        <v>56</v>
      </c>
      <c r="F117" s="16">
        <v>2461.79</v>
      </c>
    </row>
    <row r="118" spans="1:6" x14ac:dyDescent="0.25">
      <c r="A118" t="s">
        <v>139</v>
      </c>
      <c r="B118" t="s">
        <v>142</v>
      </c>
      <c r="C118" t="s">
        <v>243</v>
      </c>
      <c r="D118" t="s">
        <v>185</v>
      </c>
      <c r="E118">
        <v>16</v>
      </c>
      <c r="F118" s="16">
        <v>105.5</v>
      </c>
    </row>
    <row r="119" spans="1:6" x14ac:dyDescent="0.25">
      <c r="A119" t="s">
        <v>139</v>
      </c>
      <c r="B119" t="s">
        <v>142</v>
      </c>
      <c r="C119" t="s">
        <v>232</v>
      </c>
      <c r="D119" t="s">
        <v>185</v>
      </c>
      <c r="E119">
        <v>16</v>
      </c>
      <c r="F119" s="16">
        <v>105.5</v>
      </c>
    </row>
    <row r="120" spans="1:6" x14ac:dyDescent="0.25">
      <c r="A120" t="s">
        <v>139</v>
      </c>
      <c r="B120" t="s">
        <v>142</v>
      </c>
      <c r="C120" t="s">
        <v>233</v>
      </c>
      <c r="D120" t="s">
        <v>185</v>
      </c>
      <c r="E120">
        <v>8</v>
      </c>
      <c r="F120" s="16">
        <v>175.84</v>
      </c>
    </row>
    <row r="121" spans="1:6" x14ac:dyDescent="0.25">
      <c r="A121" t="s">
        <v>139</v>
      </c>
      <c r="B121" t="s">
        <v>142</v>
      </c>
      <c r="C121" t="s">
        <v>234</v>
      </c>
      <c r="D121" t="s">
        <v>185</v>
      </c>
      <c r="E121">
        <v>8</v>
      </c>
      <c r="F121" s="16">
        <v>351.68</v>
      </c>
    </row>
    <row r="122" spans="1:6" x14ac:dyDescent="0.25">
      <c r="A122" t="s">
        <v>143</v>
      </c>
      <c r="B122" t="s">
        <v>146</v>
      </c>
      <c r="C122" t="s">
        <v>278</v>
      </c>
      <c r="D122" t="s">
        <v>183</v>
      </c>
      <c r="E122">
        <v>39.5</v>
      </c>
      <c r="F122" s="16">
        <v>1756.24</v>
      </c>
    </row>
    <row r="123" spans="1:6" x14ac:dyDescent="0.25">
      <c r="A123" t="s">
        <v>143</v>
      </c>
      <c r="B123" t="s">
        <v>146</v>
      </c>
      <c r="C123" t="s">
        <v>279</v>
      </c>
      <c r="D123" t="s">
        <v>185</v>
      </c>
      <c r="E123">
        <v>31.5</v>
      </c>
      <c r="F123" s="16">
        <v>210.07</v>
      </c>
    </row>
    <row r="124" spans="1:6" x14ac:dyDescent="0.25">
      <c r="A124" t="s">
        <v>143</v>
      </c>
      <c r="B124" t="s">
        <v>146</v>
      </c>
      <c r="C124" t="s">
        <v>280</v>
      </c>
      <c r="D124" t="s">
        <v>185</v>
      </c>
      <c r="E124">
        <v>8</v>
      </c>
      <c r="F124" s="16">
        <v>355.69</v>
      </c>
    </row>
    <row r="125" spans="1:6" x14ac:dyDescent="0.25">
      <c r="A125" t="s">
        <v>143</v>
      </c>
      <c r="B125" t="s">
        <v>146</v>
      </c>
      <c r="C125" t="s">
        <v>281</v>
      </c>
      <c r="D125" t="s">
        <v>185</v>
      </c>
      <c r="E125">
        <v>0</v>
      </c>
      <c r="F125" s="16">
        <v>8.5</v>
      </c>
    </row>
    <row r="126" spans="1:6" x14ac:dyDescent="0.25">
      <c r="A126" t="s">
        <v>143</v>
      </c>
      <c r="B126" t="s">
        <v>146</v>
      </c>
      <c r="C126" t="s">
        <v>282</v>
      </c>
      <c r="D126" t="s">
        <v>190</v>
      </c>
      <c r="E126">
        <v>8</v>
      </c>
      <c r="F126" s="16">
        <v>355.69</v>
      </c>
    </row>
    <row r="127" spans="1:6" x14ac:dyDescent="0.25">
      <c r="A127" t="s">
        <v>147</v>
      </c>
      <c r="B127" t="s">
        <v>150</v>
      </c>
      <c r="C127" t="s">
        <v>283</v>
      </c>
      <c r="D127" t="s">
        <v>183</v>
      </c>
      <c r="E127">
        <v>55</v>
      </c>
      <c r="F127" s="16">
        <v>2445.4</v>
      </c>
    </row>
    <row r="128" spans="1:6" x14ac:dyDescent="0.25">
      <c r="A128" t="s">
        <v>147</v>
      </c>
      <c r="B128" t="s">
        <v>150</v>
      </c>
      <c r="C128" t="s">
        <v>284</v>
      </c>
      <c r="D128" t="s">
        <v>185</v>
      </c>
      <c r="E128">
        <v>32</v>
      </c>
      <c r="F128" s="16">
        <v>213.4</v>
      </c>
    </row>
    <row r="129" spans="1:6" x14ac:dyDescent="0.25">
      <c r="A129" t="s">
        <v>147</v>
      </c>
      <c r="B129" t="s">
        <v>150</v>
      </c>
      <c r="C129" t="s">
        <v>285</v>
      </c>
      <c r="D129" t="s">
        <v>185</v>
      </c>
      <c r="E129">
        <v>8</v>
      </c>
      <c r="F129" s="16">
        <v>177.85</v>
      </c>
    </row>
    <row r="130" spans="1:6" x14ac:dyDescent="0.25">
      <c r="A130" t="s">
        <v>147</v>
      </c>
      <c r="B130" t="s">
        <v>150</v>
      </c>
      <c r="C130" t="s">
        <v>280</v>
      </c>
      <c r="D130" t="s">
        <v>185</v>
      </c>
      <c r="E130">
        <v>8</v>
      </c>
      <c r="F130" s="16">
        <v>355.69</v>
      </c>
    </row>
    <row r="131" spans="1:6" x14ac:dyDescent="0.25">
      <c r="A131" t="s">
        <v>147</v>
      </c>
      <c r="B131" t="s">
        <v>150</v>
      </c>
      <c r="C131" t="s">
        <v>286</v>
      </c>
      <c r="D131" t="s">
        <v>190</v>
      </c>
      <c r="E131">
        <v>1</v>
      </c>
      <c r="F131" s="16">
        <v>44.46</v>
      </c>
    </row>
    <row r="132" spans="1:6" x14ac:dyDescent="0.25">
      <c r="A132" t="s">
        <v>151</v>
      </c>
      <c r="B132" t="s">
        <v>154</v>
      </c>
      <c r="C132" t="s">
        <v>287</v>
      </c>
      <c r="D132" t="s">
        <v>183</v>
      </c>
      <c r="E132">
        <v>37.25</v>
      </c>
      <c r="F132" s="16">
        <v>1656.2</v>
      </c>
    </row>
    <row r="133" spans="1:6" x14ac:dyDescent="0.25">
      <c r="A133" t="s">
        <v>151</v>
      </c>
      <c r="B133" t="s">
        <v>154</v>
      </c>
      <c r="C133" t="s">
        <v>288</v>
      </c>
      <c r="D133" t="s">
        <v>185</v>
      </c>
      <c r="E133">
        <v>23.5</v>
      </c>
      <c r="F133" s="16">
        <v>156.72</v>
      </c>
    </row>
    <row r="134" spans="1:6" x14ac:dyDescent="0.25">
      <c r="A134" t="s">
        <v>151</v>
      </c>
      <c r="B134" t="s">
        <v>154</v>
      </c>
      <c r="C134" t="s">
        <v>289</v>
      </c>
      <c r="D134" t="s">
        <v>185</v>
      </c>
      <c r="E134">
        <v>7.75</v>
      </c>
      <c r="F134" s="16">
        <v>172.29</v>
      </c>
    </row>
    <row r="135" spans="1:6" x14ac:dyDescent="0.25">
      <c r="A135" t="s">
        <v>151</v>
      </c>
      <c r="B135" t="s">
        <v>154</v>
      </c>
      <c r="C135" t="s">
        <v>280</v>
      </c>
      <c r="D135" t="s">
        <v>185</v>
      </c>
      <c r="E135">
        <v>8</v>
      </c>
      <c r="F135" s="16">
        <v>355.69</v>
      </c>
    </row>
    <row r="136" spans="1:6" x14ac:dyDescent="0.25">
      <c r="A136" t="s">
        <v>151</v>
      </c>
      <c r="B136" t="s">
        <v>154</v>
      </c>
      <c r="C136" t="s">
        <v>290</v>
      </c>
      <c r="D136" t="s">
        <v>197</v>
      </c>
      <c r="E136">
        <v>0.25</v>
      </c>
      <c r="F136" s="16">
        <v>11.12</v>
      </c>
    </row>
    <row r="137" spans="1:6" x14ac:dyDescent="0.25">
      <c r="A137" t="s">
        <v>151</v>
      </c>
      <c r="B137" t="s">
        <v>154</v>
      </c>
      <c r="C137" t="s">
        <v>291</v>
      </c>
      <c r="D137" t="s">
        <v>200</v>
      </c>
      <c r="F137" s="16">
        <v>2.5499999999999998</v>
      </c>
    </row>
    <row r="138" spans="1:6" x14ac:dyDescent="0.25">
      <c r="A138" t="s">
        <v>155</v>
      </c>
      <c r="B138" t="s">
        <v>158</v>
      </c>
      <c r="C138" t="s">
        <v>292</v>
      </c>
      <c r="D138" t="s">
        <v>183</v>
      </c>
      <c r="E138">
        <v>45.35</v>
      </c>
      <c r="F138" s="16">
        <v>2016.34</v>
      </c>
    </row>
    <row r="139" spans="1:6" x14ac:dyDescent="0.25">
      <c r="A139" t="s">
        <v>155</v>
      </c>
      <c r="B139" t="s">
        <v>158</v>
      </c>
      <c r="C139" t="s">
        <v>293</v>
      </c>
      <c r="D139" t="s">
        <v>185</v>
      </c>
      <c r="E139">
        <v>16</v>
      </c>
      <c r="F139" s="16">
        <v>1067.08</v>
      </c>
    </row>
    <row r="140" spans="1:6" x14ac:dyDescent="0.25">
      <c r="A140" t="s">
        <v>155</v>
      </c>
      <c r="B140" t="s">
        <v>158</v>
      </c>
      <c r="C140" t="s">
        <v>294</v>
      </c>
      <c r="D140" t="s">
        <v>185</v>
      </c>
      <c r="E140">
        <v>8</v>
      </c>
      <c r="F140" s="16">
        <v>177.85</v>
      </c>
    </row>
    <row r="141" spans="1:6" x14ac:dyDescent="0.25">
      <c r="A141" t="s">
        <v>155</v>
      </c>
      <c r="B141" t="s">
        <v>158</v>
      </c>
      <c r="C141" t="s">
        <v>295</v>
      </c>
      <c r="D141" t="s">
        <v>185</v>
      </c>
      <c r="E141">
        <v>8</v>
      </c>
      <c r="F141" s="16">
        <v>53.35</v>
      </c>
    </row>
    <row r="142" spans="1:6" x14ac:dyDescent="0.25">
      <c r="A142" t="s">
        <v>155</v>
      </c>
      <c r="B142" t="s">
        <v>158</v>
      </c>
      <c r="C142" t="s">
        <v>290</v>
      </c>
      <c r="D142" t="s">
        <v>197</v>
      </c>
      <c r="E142">
        <v>0.25</v>
      </c>
      <c r="F142" s="16">
        <v>11.12</v>
      </c>
    </row>
    <row r="143" spans="1:6" x14ac:dyDescent="0.25">
      <c r="A143" t="s">
        <v>155</v>
      </c>
      <c r="B143" t="s">
        <v>158</v>
      </c>
      <c r="C143" t="s">
        <v>291</v>
      </c>
      <c r="D143" t="s">
        <v>200</v>
      </c>
      <c r="F143" s="16">
        <v>2.5499999999999998</v>
      </c>
    </row>
    <row r="144" spans="1:6" x14ac:dyDescent="0.25">
      <c r="A144" t="s">
        <v>155</v>
      </c>
      <c r="B144" t="s">
        <v>158</v>
      </c>
      <c r="C144" t="s">
        <v>296</v>
      </c>
      <c r="D144" t="s">
        <v>190</v>
      </c>
      <c r="E144">
        <v>7.6</v>
      </c>
      <c r="F144" s="16">
        <v>337.91</v>
      </c>
    </row>
    <row r="145" spans="1:6" x14ac:dyDescent="0.25">
      <c r="A145" t="s">
        <v>159</v>
      </c>
      <c r="B145" t="s">
        <v>162</v>
      </c>
      <c r="C145" t="s">
        <v>297</v>
      </c>
      <c r="D145" t="s">
        <v>183</v>
      </c>
      <c r="E145">
        <v>55.75</v>
      </c>
      <c r="F145" s="16">
        <v>2478.75</v>
      </c>
    </row>
    <row r="146" spans="1:6" x14ac:dyDescent="0.25">
      <c r="A146" t="s">
        <v>159</v>
      </c>
      <c r="B146" t="s">
        <v>162</v>
      </c>
      <c r="C146" t="s">
        <v>298</v>
      </c>
      <c r="D146" t="s">
        <v>185</v>
      </c>
      <c r="E146">
        <v>24</v>
      </c>
      <c r="F146" s="16">
        <v>160.05000000000001</v>
      </c>
    </row>
    <row r="147" spans="1:6" x14ac:dyDescent="0.25">
      <c r="A147" t="s">
        <v>159</v>
      </c>
      <c r="B147" t="s">
        <v>162</v>
      </c>
      <c r="C147" t="s">
        <v>285</v>
      </c>
      <c r="D147" t="s">
        <v>185</v>
      </c>
      <c r="E147">
        <v>8</v>
      </c>
      <c r="F147" s="16">
        <v>177.85</v>
      </c>
    </row>
    <row r="148" spans="1:6" x14ac:dyDescent="0.25">
      <c r="A148" t="s">
        <v>159</v>
      </c>
      <c r="B148" t="s">
        <v>162</v>
      </c>
      <c r="C148" t="s">
        <v>299</v>
      </c>
      <c r="D148" t="s">
        <v>185</v>
      </c>
      <c r="E148">
        <v>7.75</v>
      </c>
      <c r="F148" s="16">
        <v>344.58</v>
      </c>
    </row>
    <row r="149" spans="1:6" x14ac:dyDescent="0.25">
      <c r="A149" t="s">
        <v>159</v>
      </c>
      <c r="B149" t="s">
        <v>162</v>
      </c>
      <c r="C149" t="s">
        <v>300</v>
      </c>
      <c r="D149" t="s">
        <v>185</v>
      </c>
      <c r="E149">
        <v>0</v>
      </c>
      <c r="F149" s="16">
        <v>0.25</v>
      </c>
    </row>
    <row r="150" spans="1:6" x14ac:dyDescent="0.25">
      <c r="A150" t="s">
        <v>163</v>
      </c>
      <c r="B150" t="s">
        <v>166</v>
      </c>
      <c r="C150" t="s">
        <v>301</v>
      </c>
      <c r="D150" t="s">
        <v>183</v>
      </c>
      <c r="E150">
        <v>22.8</v>
      </c>
      <c r="F150" s="16">
        <v>1013.73</v>
      </c>
    </row>
    <row r="151" spans="1:6" x14ac:dyDescent="0.25">
      <c r="A151" t="s">
        <v>163</v>
      </c>
      <c r="B151" t="s">
        <v>166</v>
      </c>
      <c r="C151" t="s">
        <v>302</v>
      </c>
      <c r="D151" t="s">
        <v>185</v>
      </c>
      <c r="E151">
        <v>8</v>
      </c>
      <c r="F151" s="16">
        <v>533.54</v>
      </c>
    </row>
    <row r="152" spans="1:6" x14ac:dyDescent="0.25">
      <c r="A152" t="s">
        <v>163</v>
      </c>
      <c r="B152" t="s">
        <v>166</v>
      </c>
      <c r="C152" t="s">
        <v>303</v>
      </c>
      <c r="D152" t="s">
        <v>185</v>
      </c>
      <c r="E152">
        <v>8</v>
      </c>
      <c r="F152" s="16">
        <v>53.35</v>
      </c>
    </row>
    <row r="153" spans="1:6" x14ac:dyDescent="0.25">
      <c r="A153" t="s">
        <v>163</v>
      </c>
      <c r="B153" t="s">
        <v>166</v>
      </c>
      <c r="C153" t="s">
        <v>241</v>
      </c>
      <c r="D153" t="s">
        <v>203</v>
      </c>
      <c r="E153">
        <v>30.4</v>
      </c>
      <c r="F153" s="16">
        <v>0</v>
      </c>
    </row>
    <row r="154" spans="1:6" x14ac:dyDescent="0.25">
      <c r="A154" t="s">
        <v>167</v>
      </c>
      <c r="B154" t="s">
        <v>170</v>
      </c>
      <c r="C154" t="s">
        <v>304</v>
      </c>
      <c r="D154" t="s">
        <v>183</v>
      </c>
      <c r="E154">
        <v>68.150000000000006</v>
      </c>
      <c r="F154" s="16">
        <v>3030.07</v>
      </c>
    </row>
    <row r="155" spans="1:6" x14ac:dyDescent="0.25">
      <c r="A155" t="s">
        <v>167</v>
      </c>
      <c r="B155" t="s">
        <v>170</v>
      </c>
      <c r="C155" t="s">
        <v>285</v>
      </c>
      <c r="D155" t="s">
        <v>185</v>
      </c>
      <c r="E155">
        <v>8</v>
      </c>
      <c r="F155" s="16">
        <v>177.85</v>
      </c>
    </row>
    <row r="156" spans="1:6" x14ac:dyDescent="0.25">
      <c r="A156" t="s">
        <v>167</v>
      </c>
      <c r="B156" t="s">
        <v>170</v>
      </c>
      <c r="C156" t="s">
        <v>280</v>
      </c>
      <c r="D156" t="s">
        <v>185</v>
      </c>
      <c r="E156">
        <v>8</v>
      </c>
      <c r="F156" s="16">
        <v>355.69</v>
      </c>
    </row>
    <row r="157" spans="1:6" x14ac:dyDescent="0.25">
      <c r="A157" t="s">
        <v>167</v>
      </c>
      <c r="B157" t="s">
        <v>170</v>
      </c>
      <c r="C157" t="s">
        <v>296</v>
      </c>
      <c r="D157" t="s">
        <v>190</v>
      </c>
      <c r="E157">
        <v>7.6</v>
      </c>
      <c r="F157" s="16">
        <v>337.91</v>
      </c>
    </row>
    <row r="158" spans="1:6" x14ac:dyDescent="0.25">
      <c r="A158" t="s">
        <v>171</v>
      </c>
      <c r="B158" t="s">
        <v>174</v>
      </c>
      <c r="C158" t="s">
        <v>305</v>
      </c>
      <c r="D158" t="s">
        <v>183</v>
      </c>
      <c r="E158">
        <v>24</v>
      </c>
      <c r="F158" s="16">
        <v>1067.08</v>
      </c>
    </row>
    <row r="159" spans="1:6" x14ac:dyDescent="0.25">
      <c r="A159" t="s">
        <v>171</v>
      </c>
      <c r="B159" t="s">
        <v>174</v>
      </c>
      <c r="C159" t="s">
        <v>303</v>
      </c>
      <c r="D159" t="s">
        <v>185</v>
      </c>
      <c r="E159">
        <v>8</v>
      </c>
      <c r="F159" s="16">
        <v>53.35</v>
      </c>
    </row>
    <row r="160" spans="1:6" x14ac:dyDescent="0.25">
      <c r="A160" t="s">
        <v>171</v>
      </c>
      <c r="B160" t="s">
        <v>174</v>
      </c>
      <c r="C160" t="s">
        <v>285</v>
      </c>
      <c r="D160" t="s">
        <v>185</v>
      </c>
      <c r="E160">
        <v>8</v>
      </c>
      <c r="F160" s="16">
        <v>177.85</v>
      </c>
    </row>
    <row r="161" spans="1:6" x14ac:dyDescent="0.25">
      <c r="A161" t="s">
        <v>171</v>
      </c>
      <c r="B161" t="s">
        <v>174</v>
      </c>
      <c r="C161" t="s">
        <v>280</v>
      </c>
      <c r="D161" t="s">
        <v>185</v>
      </c>
      <c r="E161">
        <v>8</v>
      </c>
      <c r="F161" s="16">
        <v>355.69</v>
      </c>
    </row>
    <row r="162" spans="1:6" x14ac:dyDescent="0.25">
      <c r="A162" t="s">
        <v>171</v>
      </c>
      <c r="B162" t="s">
        <v>174</v>
      </c>
      <c r="C162" t="s">
        <v>306</v>
      </c>
      <c r="D162" t="s">
        <v>190</v>
      </c>
      <c r="E162">
        <v>2.12</v>
      </c>
      <c r="F162" s="16">
        <v>94.26</v>
      </c>
    </row>
    <row r="163" spans="1:6" x14ac:dyDescent="0.25">
      <c r="A163" t="s">
        <v>171</v>
      </c>
      <c r="B163" t="s">
        <v>174</v>
      </c>
      <c r="C163" t="s">
        <v>307</v>
      </c>
      <c r="D163" t="s">
        <v>203</v>
      </c>
      <c r="E163">
        <v>13.88</v>
      </c>
      <c r="F163" s="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 summary &amp; averages</vt:lpstr>
      <vt:lpstr>Fortnight detail</vt:lpstr>
      <vt:lpstr>Line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Cory Shepherd</cp:lastModifiedBy>
  <dcterms:created xsi:type="dcterms:W3CDTF">2026-07-24T06:45:55Z</dcterms:created>
  <dcterms:modified xsi:type="dcterms:W3CDTF">2026-07-24T06:52:10Z</dcterms:modified>
</cp:coreProperties>
</file>